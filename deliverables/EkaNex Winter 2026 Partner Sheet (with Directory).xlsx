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Company Tracker" sheetId="2" state="visible" r:id="rId2"/>
    <sheet name="Intern Seats" sheetId="3" state="visible" r:id="rId3"/>
    <sheet name="Problem Bank" sheetId="4" state="visible" r:id="rId4"/>
    <sheet name="Call Script" sheetId="5" state="visible" r:id="rId5"/>
    <sheet name="Company &amp; Role Directory" sheetId="6" state="visible" r:id="rId6"/>
    <sheet name="Company Verification" sheetId="7" state="visible" r:id="rId7"/>
  </sheets>
  <definedNames>
    <definedName name="_xlnm._FilterDatabase" localSheetId="1" hidden="1">'Company Tracker'!$A$1:$S$12</definedName>
    <definedName name="_xlnm._FilterDatabase" localSheetId="2" hidden="1">'Intern Seats'!$A$1:$M$23</definedName>
    <definedName name="_xlnm._FilterDatabase" localSheetId="5" hidden="1">'Company &amp; Role Directory'!$A$1:$M$23</definedName>
    <definedName name="_xlnm._FilterDatabase" localSheetId="6" hidden="1">'Company Verification'!$A$1:$I$12</definedName>
  </definedNames>
  <calcPr calcId="124519" fullCalcOnLoad="1"/>
</workbook>
</file>

<file path=xl/styles.xml><?xml version="1.0" encoding="utf-8"?>
<styleSheet xmlns="http://schemas.openxmlformats.org/spreadsheetml/2006/main">
  <numFmts count="1">
    <numFmt numFmtId="164" formatCode="dd\-mmm\-yyyy"/>
  </numFmts>
  <fonts count="13">
    <font>
      <name val="Calibri"/>
      <color theme="1"/>
      <sz val="11"/>
      <scheme val="minor"/>
    </font>
    <font>
      <name val="Arial"/>
      <b val="1"/>
      <color rgb="FF1F3864"/>
      <sz val="16"/>
    </font>
    <font>
      <name val="Arial"/>
      <b val="1"/>
      <color rgb="FFFFFFFF"/>
      <sz val="10"/>
    </font>
    <font>
      <name val="Arial"/>
      <i val="1"/>
      <color theme="1"/>
      <sz val="10"/>
    </font>
    <font>
      <name val="Arial"/>
      <color theme="1"/>
      <sz val="10"/>
    </font>
    <font>
      <name val="Arial"/>
      <b val="1"/>
      <color rgb="FF1F3864"/>
      <sz val="11"/>
    </font>
    <font>
      <name val="Arial"/>
      <b val="1"/>
      <color theme="1"/>
      <sz val="10"/>
    </font>
    <font>
      <name val="Arial"/>
      <b val="1"/>
      <color rgb="FF1F3864"/>
      <sz val="10"/>
    </font>
    <font>
      <name val="Arial"/>
      <i val="1"/>
      <color theme="1"/>
      <sz val="9"/>
    </font>
    <font>
      <name val="Arial"/>
      <b val="1"/>
      <color rgb="FF1F3864"/>
      <sz val="14"/>
    </font>
    <font>
      <b val="1"/>
      <color rgb="00FFFFFF"/>
      <sz val="11"/>
    </font>
    <font>
      <b val="1"/>
      <color rgb="001F3864"/>
    </font>
    <font>
      <b val="1"/>
      <color rgb="000F172A"/>
    </font>
  </fonts>
  <fills count="10">
    <fill>
      <patternFill/>
    </fill>
    <fill>
      <patternFill patternType="lightGray"/>
    </fill>
    <fill>
      <patternFill patternType="solid">
        <fgColor rgb="FF1F3864"/>
        <bgColor rgb="FF1F3864"/>
      </patternFill>
    </fill>
    <fill>
      <patternFill patternType="solid">
        <fgColor rgb="FFFFF2CC"/>
        <bgColor rgb="FFFFF2CC"/>
      </patternFill>
    </fill>
    <fill>
      <patternFill patternType="solid">
        <fgColor rgb="FFF2F2F2"/>
        <bgColor rgb="FFF2F2F2"/>
      </patternFill>
    </fill>
    <fill>
      <patternFill patternType="solid">
        <fgColor rgb="FFE2EFDA"/>
        <bgColor rgb="FFE2EFDA"/>
      </patternFill>
    </fill>
    <fill>
      <patternFill patternType="solid">
        <fgColor rgb="001F3864"/>
      </patternFill>
    </fill>
    <fill>
      <patternFill patternType="solid">
        <fgColor rgb="00FBEAEA"/>
      </patternFill>
    </fill>
    <fill>
      <patternFill patternType="solid">
        <fgColor rgb="00E7F6EC"/>
      </patternFill>
    </fill>
    <fill>
      <patternFill patternType="solid">
        <fgColor rgb="00FEF6E7"/>
      </patternFill>
    </fill>
  </fills>
  <borders count="4">
    <border/>
    <border>
      <left style="thin">
        <color rgb="FFBFBFBF"/>
      </left>
      <right style="thin">
        <color rgb="FFBFBFBF"/>
      </right>
      <top style="thin">
        <color rgb="FFBFBFBF"/>
      </top>
      <bottom style="thin">
        <color rgb="FFBFBFBF"/>
      </bottom>
    </border>
    <border>
      <left/>
      <right/>
      <top/>
      <bottom/>
    </border>
    <border>
      <left style="thin">
        <color rgb="00D9DEE8"/>
      </left>
      <right style="thin">
        <color rgb="00D9DEE8"/>
      </right>
      <top style="thin">
        <color rgb="00D9DEE8"/>
      </top>
      <bottom style="thin">
        <color rgb="00D9DEE8"/>
      </bottom>
    </border>
  </borders>
  <cellStyleXfs count="1">
    <xf numFmtId="0" fontId="0" fillId="0" borderId="0"/>
  </cellStyleXfs>
  <cellXfs count="37">
    <xf numFmtId="0" fontId="0" fillId="0" borderId="0" applyAlignment="1" pivotButton="0" quotePrefix="0" xfId="0">
      <alignment vertical="bottom"/>
    </xf>
    <xf numFmtId="0" fontId="1" fillId="0" borderId="0" applyAlignment="1" pivotButton="0" quotePrefix="0" xfId="0">
      <alignment vertical="bottom"/>
    </xf>
    <xf numFmtId="0" fontId="2" fillId="2" borderId="1" applyAlignment="1" pivotButton="0" quotePrefix="0" xfId="0">
      <alignment horizontal="center" vertical="center" wrapText="1"/>
    </xf>
    <xf numFmtId="0" fontId="3" fillId="0" borderId="0" applyAlignment="1" pivotButton="0" quotePrefix="0" xfId="0">
      <alignment vertical="bottom"/>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4" fillId="3" borderId="2" applyAlignment="1" pivotButton="0" quotePrefix="0" xfId="0">
      <alignment vertical="top" wrapText="1"/>
    </xf>
    <xf numFmtId="0" fontId="4" fillId="0" borderId="1" applyAlignment="1" pivotButton="0" quotePrefix="0" xfId="0">
      <alignment horizontal="center" vertical="top"/>
    </xf>
    <xf numFmtId="0" fontId="6" fillId="0" borderId="1" applyAlignment="1" pivotButton="0" quotePrefix="0" xfId="0">
      <alignment horizontal="center" vertical="top"/>
    </xf>
    <xf numFmtId="0" fontId="4" fillId="3" borderId="1" applyAlignment="1" pivotButton="0" quotePrefix="0" xfId="0">
      <alignment horizontal="left" vertical="top" wrapText="1"/>
    </xf>
    <xf numFmtId="0" fontId="4" fillId="0" borderId="1" applyAlignment="1" pivotButton="0" quotePrefix="0" xfId="0">
      <alignment horizontal="left" vertical="top" wrapText="1"/>
    </xf>
    <xf numFmtId="164" fontId="4" fillId="0" borderId="1" applyAlignment="1" pivotButton="0" quotePrefix="0" xfId="0">
      <alignment horizontal="center" vertical="top"/>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6" fillId="4" borderId="1" applyAlignment="1" pivotButton="0" quotePrefix="0" xfId="0">
      <alignment horizontal="center" vertical="top"/>
    </xf>
    <xf numFmtId="0" fontId="4" fillId="4" borderId="1" applyAlignment="1" pivotButton="0" quotePrefix="0" xfId="0">
      <alignment horizontal="left" vertical="top" wrapText="1"/>
    </xf>
    <xf numFmtId="164" fontId="4" fillId="4" borderId="1" applyAlignment="1" pivotButton="0" quotePrefix="0" xfId="0">
      <alignment horizontal="center" vertical="top"/>
    </xf>
    <xf numFmtId="0" fontId="7" fillId="0" borderId="0" applyAlignment="1" pivotButton="0" quotePrefix="0" xfId="0">
      <alignment vertical="bottom"/>
    </xf>
    <xf numFmtId="0" fontId="6" fillId="0" borderId="0" applyAlignment="1" pivotButton="0" quotePrefix="0" xfId="0">
      <alignment vertical="bottom"/>
    </xf>
    <xf numFmtId="0" fontId="6" fillId="0" borderId="1" applyAlignment="1" pivotButton="0" quotePrefix="0" xfId="0">
      <alignment horizontal="left" vertical="top" wrapText="1"/>
    </xf>
    <xf numFmtId="0" fontId="6" fillId="4" borderId="1" applyAlignment="1" pivotButton="0" quotePrefix="0" xfId="0">
      <alignment horizontal="left" vertical="top" wrapText="1"/>
    </xf>
    <xf numFmtId="0" fontId="4" fillId="0" borderId="0" applyAlignment="1" pivotButton="0" quotePrefix="0" xfId="0">
      <alignment vertical="bottom"/>
    </xf>
    <xf numFmtId="0" fontId="8" fillId="0" borderId="0" applyAlignment="1" pivotButton="0" quotePrefix="0" xfId="0">
      <alignment vertical="bottom"/>
    </xf>
    <xf numFmtId="0" fontId="9" fillId="0" borderId="0" applyAlignment="1" pivotButton="0" quotePrefix="0" xfId="0">
      <alignment vertical="bottom"/>
    </xf>
    <xf numFmtId="0" fontId="4" fillId="5" borderId="2" applyAlignment="1" pivotButton="0" quotePrefix="0" xfId="0">
      <alignment vertical="top" wrapText="1"/>
    </xf>
    <xf numFmtId="0" fontId="6" fillId="0" borderId="1" applyAlignment="1" pivotButton="0" quotePrefix="0" xfId="0">
      <alignment horizontal="center" vertical="top"/>
    </xf>
    <xf numFmtId="0" fontId="0" fillId="0" borderId="0" pivotButton="0" quotePrefix="0" xfId="0"/>
    <xf numFmtId="0" fontId="10" fillId="6" borderId="3" applyAlignment="1" pivotButton="0" quotePrefix="0" xfId="0">
      <alignment horizontal="left" vertical="center" wrapText="1"/>
    </xf>
    <xf numFmtId="0" fontId="11" fillId="0" borderId="3" applyAlignment="1" pivotButton="0" quotePrefix="0" xfId="0">
      <alignment horizontal="left" vertical="top" wrapText="1"/>
    </xf>
    <xf numFmtId="0" fontId="0" fillId="0" borderId="3" applyAlignment="1" pivotButton="0" quotePrefix="0" xfId="0">
      <alignment horizontal="left" vertical="top" wrapText="1"/>
    </xf>
    <xf numFmtId="0" fontId="10" fillId="6" borderId="3" applyAlignment="1" pivotButton="0" quotePrefix="0" xfId="0">
      <alignment vertical="center" wrapText="1"/>
    </xf>
    <xf numFmtId="0" fontId="11" fillId="0" borderId="3" applyAlignment="1" pivotButton="0" quotePrefix="0" xfId="0">
      <alignment vertical="top" wrapText="1"/>
    </xf>
    <xf numFmtId="0" fontId="0" fillId="0" borderId="3" applyAlignment="1" pivotButton="0" quotePrefix="0" xfId="0">
      <alignment vertical="top" wrapText="1"/>
    </xf>
    <xf numFmtId="0" fontId="12" fillId="7" borderId="3" applyAlignment="1" pivotButton="0" quotePrefix="0" xfId="0">
      <alignment vertical="top" wrapText="1"/>
    </xf>
    <xf numFmtId="0" fontId="12" fillId="8" borderId="3" applyAlignment="1" pivotButton="0" quotePrefix="0" xfId="0">
      <alignment vertical="top" wrapText="1"/>
    </xf>
    <xf numFmtId="0" fontId="12" fillId="9" borderId="3"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ColWidth="14.43" defaultRowHeight="15" customHeight="1"/>
  <cols>
    <col width="42" customWidth="1" style="27" min="1" max="1"/>
    <col width="95" customWidth="1" style="27" min="2" max="2"/>
    <col width="8.710000000000001" customWidth="1" style="27" min="3" max="26"/>
  </cols>
  <sheetData>
    <row r="1">
      <c r="A1" s="1" t="inlineStr">
        <is>
          <t>EKANEX — Winter 2026 Micro-Internship Partner Sheet</t>
        </is>
      </c>
    </row>
    <row r="2">
      <c r="A2" s="3" t="inlineStr">
        <is>
          <t>Prepared for: Arnav  |  Cycle: December 2026  |  Target: 11 partners x 2 interns = 22 seats</t>
        </is>
      </c>
    </row>
    <row r="3">
      <c r="A3" s="4" t="n"/>
      <c r="B3" s="4" t="n"/>
    </row>
    <row r="4">
      <c r="A4" s="5" t="inlineStr">
        <is>
          <t>IMPORTANT — READ BEFORE SENDING THIS TO ANYONE</t>
        </is>
      </c>
      <c r="B4" s="4" t="n"/>
    </row>
    <row r="5">
      <c r="A5" s="6" t="inlineStr">
        <is>
          <t>Nothing in this workbook is a confirmed commitment.</t>
        </is>
      </c>
      <c r="B5" s="7" t="inlineStr">
        <is>
          <t>Every company profile, problem statement, project scope, date and location below is a PROPOSAL drafted for you to take into the conversation. The 'Status' column starts at 'Not yet approached' for all 11. Only you can change it, and only after the contact actually says yes on a call or in writing.</t>
        </is>
      </c>
    </row>
    <row r="6">
      <c r="A6" s="6" t="inlineStr">
        <is>
          <t>Sector and business details are best-guess.</t>
        </is>
      </c>
      <c r="B6" s="7" t="inlineStr">
        <is>
          <t>Several of these company names are ambiguous (there is more than one 'Paras', 'Columbus', 'Starlink' and 'SSF' in India). The 'Sector — VERIFY' column is my read, not a fact. Confirm it in your first call and correct the cell before you build a pitch on it.</t>
        </is>
      </c>
    </row>
    <row r="7">
      <c r="A7" s="4" t="n"/>
      <c r="B7" s="4" t="n"/>
    </row>
    <row r="8">
      <c r="A8" s="5" t="inlineStr">
        <is>
          <t>HOW TO USE IT</t>
        </is>
      </c>
      <c r="B8" s="4" t="n"/>
    </row>
    <row r="9">
      <c r="A9" s="6" t="inlineStr">
        <is>
          <t>1. Company Tracker</t>
        </is>
      </c>
      <c r="B9" s="4" t="inlineStr">
        <is>
          <t>Your master sheet. One row per company: what they do, the problem you are proposing to solve, the project scope, dates and location. Work left to right in the call.</t>
        </is>
      </c>
    </row>
    <row r="10">
      <c r="A10" s="6" t="inlineStr">
        <is>
          <t>2. Intern Seats</t>
        </is>
      </c>
      <c r="B10" s="4" t="inlineStr">
        <is>
          <t>The same commitments broken into 22 individual seats, two per company, with a distinct role for each so the pair are not duplicating work.</t>
        </is>
      </c>
    </row>
    <row r="11">
      <c r="A11" s="6" t="inlineStr">
        <is>
          <t>3. Problem Bank</t>
        </is>
      </c>
      <c r="B11" s="4" t="inlineStr">
        <is>
          <t>The eight problem categories you listed, expanded into what an intern can realistically deliver in a 10-day window. Use this to re-scope if a company pushes back on the problem you proposed.</t>
        </is>
      </c>
    </row>
    <row r="12">
      <c r="A12" s="6" t="inlineStr">
        <is>
          <t>4. Call Script</t>
        </is>
      </c>
      <c r="B12" s="4" t="inlineStr">
        <is>
          <t>The five questions to ask on the first call so you can fill in columns E to H yourself instead of guessing.</t>
        </is>
      </c>
    </row>
    <row r="13">
      <c r="A13" s="4" t="n"/>
      <c r="B13" s="4" t="n"/>
    </row>
    <row r="14">
      <c r="A14" s="5" t="inlineStr">
        <is>
          <t>COLOUR LEGEND</t>
        </is>
      </c>
      <c r="B14" s="4" t="n"/>
    </row>
    <row r="15">
      <c r="A15" s="6" t="inlineStr">
        <is>
          <t>Yellow cells</t>
        </is>
      </c>
      <c r="B15" s="4" t="inlineStr">
        <is>
          <t>You fill these in. They are guesses or blanks that need the company's own answer.</t>
        </is>
      </c>
    </row>
    <row r="16">
      <c r="A16" s="6" t="inlineStr">
        <is>
          <t>White cells</t>
        </is>
      </c>
      <c r="B16" s="4" t="inlineStr">
        <is>
          <t>Drafted content you can use as-is or edit.</t>
        </is>
      </c>
    </row>
    <row r="17">
      <c r="A17" s="6" t="inlineStr">
        <is>
          <t>Green cells</t>
        </is>
      </c>
      <c r="B17" s="4" t="inlineStr">
        <is>
          <t>Confirmed. Turn a row green only once the commitment is real.</t>
        </is>
      </c>
    </row>
    <row r="18">
      <c r="A18" s="4" t="n"/>
      <c r="B18" s="4" t="n"/>
    </row>
    <row r="19">
      <c r="A19" s="5" t="inlineStr">
        <is>
          <t>A NOTE ON THE DATES</t>
        </is>
      </c>
      <c r="B19" s="4" t="inlineStr">
        <is>
          <t>December 2026: schools in NCR generally break up around the 18th. On-site factory projects are therefore proposed for 21-31 Dec, and remote or research-led projects for 7-18 Dec so students can run them part-time alongside school. 25 Dec is a holiday and is excluded from all working-day counts.</t>
        </is>
      </c>
    </row>
    <row r="21" ht="15.75" customHeight="1" s="27"/>
    <row r="22" ht="15.75" customHeight="1" s="27"/>
    <row r="23" ht="15.75" customHeight="1" s="27"/>
    <row r="24" ht="15.75" customHeight="1" s="27"/>
    <row r="25" ht="15.75" customHeight="1" s="27"/>
    <row r="26" ht="15.75" customHeight="1" s="27"/>
    <row r="27" ht="15.75" customHeight="1" s="27"/>
    <row r="28" ht="15.75" customHeight="1" s="27"/>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S17"/>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4" customWidth="1" style="27" min="1" max="1"/>
    <col width="17" customWidth="1" style="27" min="2" max="2"/>
    <col width="18" customWidth="1" style="27" min="3" max="3"/>
    <col width="12" customWidth="1" style="27" min="4" max="4"/>
    <col width="24" customWidth="1" style="27" min="5" max="5"/>
    <col width="46" customWidth="1" style="27" min="6" max="6"/>
    <col width="22" customWidth="1" style="27" min="7" max="7"/>
    <col width="46" customWidth="1" style="27" min="8" max="8"/>
    <col width="34" customWidth="1" style="27" min="9" max="9"/>
    <col width="60" customWidth="1" style="27" min="10" max="10"/>
    <col width="44" customWidth="1" style="27" min="11" max="11"/>
    <col width="6" customWidth="1" style="27" min="12" max="12"/>
    <col width="12" customWidth="1" style="27" min="13" max="14"/>
    <col width="9" customWidth="1" style="27" min="15" max="15"/>
    <col width="20" customWidth="1" style="27" min="16" max="16"/>
    <col width="24" customWidth="1" style="27" min="17" max="17"/>
    <col width="20" customWidth="1" style="27" min="18" max="18"/>
    <col width="30" customWidth="1" style="27" min="19" max="19"/>
    <col width="8.710000000000001" customWidth="1" style="27" min="20" max="26"/>
  </cols>
  <sheetData>
    <row r="1" ht="42" customHeight="1" s="27">
      <c r="A1" s="2" t="inlineStr">
        <is>
          <t>#</t>
        </is>
      </c>
      <c r="B1" s="2" t="inlineStr">
        <is>
          <t>Company</t>
        </is>
      </c>
      <c r="C1" s="2" t="inlineStr">
        <is>
          <t>Contact</t>
        </is>
      </c>
      <c r="D1" s="2" t="inlineStr">
        <is>
          <t>Phone</t>
        </is>
      </c>
      <c r="E1" s="2" t="inlineStr">
        <is>
          <t>Sector — VERIFY</t>
        </is>
      </c>
      <c r="F1" s="2" t="inlineStr">
        <is>
          <t>What They Do (business model)</t>
        </is>
      </c>
      <c r="G1" s="2" t="inlineStr">
        <is>
          <t>Problem Category</t>
        </is>
      </c>
      <c r="H1" s="2" t="inlineStr">
        <is>
          <t>Problem Statement (as you would say it on the call)</t>
        </is>
      </c>
      <c r="I1" s="2" t="inlineStr">
        <is>
          <t>Why It Matters To Them</t>
        </is>
      </c>
      <c r="J1" s="2" t="inlineStr">
        <is>
          <t>Intern Project Scope (10 days)</t>
        </is>
      </c>
      <c r="K1" s="2" t="inlineStr">
        <is>
          <t>Deliverable at Handover</t>
        </is>
      </c>
      <c r="L1" s="2" t="inlineStr">
        <is>
          <t>Seats</t>
        </is>
      </c>
      <c r="M1" s="2" t="inlineStr">
        <is>
          <t>Start</t>
        </is>
      </c>
      <c r="N1" s="2" t="inlineStr">
        <is>
          <t>End</t>
        </is>
      </c>
      <c r="O1" s="2" t="inlineStr">
        <is>
          <t>Working Days</t>
        </is>
      </c>
      <c r="P1" s="2" t="inlineStr">
        <is>
          <t>Mode</t>
        </is>
      </c>
      <c r="Q1" s="2" t="inlineStr">
        <is>
          <t>Proposed Site — CONFIRM</t>
        </is>
      </c>
      <c r="R1" s="2" t="inlineStr">
        <is>
          <t>Status</t>
        </is>
      </c>
      <c r="S1" s="2" t="inlineStr">
        <is>
          <t>Next Action</t>
        </is>
      </c>
    </row>
    <row r="2" ht="108" customHeight="1" s="27">
      <c r="A2" s="8" t="n">
        <v>1</v>
      </c>
      <c r="B2" s="26" t="inlineStr">
        <is>
          <t>Paras</t>
        </is>
      </c>
      <c r="C2" s="8" t="inlineStr">
        <is>
          <t>Ashu</t>
        </is>
      </c>
      <c r="D2" s="8" t="n"/>
      <c r="E2" s="10" t="inlineStr">
        <is>
          <t>Real estate / FMCG — confirm which Paras</t>
        </is>
      </c>
      <c r="F2" s="11" t="inlineStr">
        <is>
          <t>Ambiguous name. Could be Paras Buildtech (NCR real estate developer) or Paras Dairy (FMCG dairy). Ask Ashu which entity and whether the unit is project sales, retail distribution or manufacturing.</t>
        </is>
      </c>
      <c r="G2" s="8" t="inlineStr">
        <is>
          <t>Social media marketing</t>
        </is>
      </c>
      <c r="H2" s="11" t="inlineStr">
        <is>
          <t>Your brand shows up when someone already knows the name, but not when a buyer is searching cold. What is the actual cost per enquiry from your digital spend right now?</t>
        </is>
      </c>
      <c r="I2" s="11" t="inlineStr">
        <is>
          <t>Enquiry cost and lead quality directly move the sales pipeline; most mid-size NCR firms have never audited it.</t>
        </is>
      </c>
      <c r="J2" s="11" t="inlineStr">
        <is>
          <t>Audit every owned channel (Instagram, LinkedIn, Google Business, website). Benchmark post frequency, format mix and engagement against 4 named competitors. Build a 30-day content calendar with 12 ready-to-post drafts and a simple enquiry-tracking sheet.</t>
        </is>
      </c>
      <c r="K2" s="11" t="inlineStr">
        <is>
          <t>Channel audit deck + competitor benchmark table + 30-day calendar with 12 drafted posts</t>
        </is>
      </c>
      <c r="L2" s="8" t="n">
        <v>2</v>
      </c>
      <c r="M2" s="12" t="n">
        <v>46363</v>
      </c>
      <c r="N2" s="12" t="n">
        <v>46374</v>
      </c>
      <c r="O2" s="8">
        <f>NETWORKDAYS(M2,N2)-IF(AND(M2&lt;=DATE(2026,12,25),N2&gt;=DATE(2026,12,25)),1,0)</f>
        <v/>
      </c>
      <c r="P2" s="8" t="inlineStr">
        <is>
          <t>Remote + 2 site visits</t>
        </is>
      </c>
      <c r="Q2" s="10" t="inlineStr">
        <is>
          <t>NCR — office TBC</t>
        </is>
      </c>
      <c r="R2" s="13" t="inlineStr">
        <is>
          <t>Not yet approached</t>
        </is>
      </c>
      <c r="S2" s="10" t="inlineStr">
        <is>
          <t>Call Ashu, confirm which Paras entity</t>
        </is>
      </c>
    </row>
    <row r="3" ht="108" customHeight="1" s="27">
      <c r="A3" s="14" t="n">
        <v>2</v>
      </c>
      <c r="B3" s="15" t="inlineStr">
        <is>
          <t>Balaji Aluminium</t>
        </is>
      </c>
      <c r="C3" s="14" t="inlineStr">
        <is>
          <t>Ankur</t>
        </is>
      </c>
      <c r="D3" s="14" t="inlineStr">
        <is>
          <t>9810944050</t>
        </is>
      </c>
      <c r="E3" s="10" t="inlineStr">
        <is>
          <t>Aluminium extrusion / trading</t>
        </is>
      </c>
      <c r="F3" s="16" t="inlineStr">
        <is>
          <t>Aluminium sections, profiles or sheet — supplied to fabricators, builders and OEMs. B2B, price-sensitive, competes on rate, credit period and delivery reliability.</t>
        </is>
      </c>
      <c r="G3" s="14" t="inlineStr">
        <is>
          <t>Competitor analysis</t>
        </is>
      </c>
      <c r="H3" s="16" t="inlineStr">
        <is>
          <t>You know who you lose orders to, but not why. What are your top 5 competitors quoting, what lead times are they promising, and where are you actually cheaper?</t>
        </is>
      </c>
      <c r="I3" s="16" t="inlineStr">
        <is>
          <t>In a commodity trade, a 2-3% pricing blind spot decides the order. This is the project Ankur has already asked for.</t>
        </is>
      </c>
      <c r="J3" s="16" t="inlineStr">
        <is>
          <t>Map 6-8 competitors in the NCR aluminium belt: product range, published rates, credit terms, delivery lead time, GST-registered scale, digital presence. Run 10 short calls with fabricators and dealers on what drives their buying decision. Score Balaji against each competitor.</t>
        </is>
      </c>
      <c r="K3" s="16" t="inlineStr">
        <is>
          <t>Competitor matrix (8 firms x 10 parameters) + 10 dealer interview notes + 5-slide positioning summary</t>
        </is>
      </c>
      <c r="L3" s="14" t="n">
        <v>2</v>
      </c>
      <c r="M3" s="17" t="n">
        <v>46363</v>
      </c>
      <c r="N3" s="17" t="n">
        <v>46374</v>
      </c>
      <c r="O3" s="14">
        <f>NETWORKDAYS(M3,N3)-IF(AND(M3&lt;=DATE(2026,12,25),N3&gt;=DATE(2026,12,25)),1,0)</f>
        <v/>
      </c>
      <c r="P3" s="14" t="inlineStr">
        <is>
          <t>Hybrid</t>
        </is>
      </c>
      <c r="Q3" s="10" t="inlineStr">
        <is>
          <t>NCR — plant/office TBC</t>
        </is>
      </c>
      <c r="R3" s="13" t="inlineStr">
        <is>
          <t>Not yet approached</t>
        </is>
      </c>
      <c r="S3" s="10" t="inlineStr">
        <is>
          <t>Scope already indicated by Ankur — send 1-page proposal</t>
        </is>
      </c>
    </row>
    <row r="4" ht="108" customHeight="1" s="27">
      <c r="A4" s="8" t="n">
        <v>3</v>
      </c>
      <c r="B4" s="26" t="inlineStr">
        <is>
          <t>True Fit</t>
        </is>
      </c>
      <c r="C4" s="8" t="inlineStr">
        <is>
          <t>Puneet</t>
        </is>
      </c>
      <c r="D4" s="8" t="n"/>
      <c r="E4" s="10" t="inlineStr">
        <is>
          <t>Apparel / garment manufacturing — confirm</t>
        </is>
      </c>
      <c r="F4" s="11" t="inlineStr">
        <is>
          <t>Likely garment or apparel manufacturing with a line-based labour force. Confirm whether it is job-work for brands or own-label, and headcount on the floor.</t>
        </is>
      </c>
      <c r="G4" s="8" t="inlineStr">
        <is>
          <t>Labour retention / welfare + HR policies</t>
        </is>
      </c>
      <c r="H4" s="11" t="inlineStr">
        <is>
          <t>How many of the people you hired in January are still on the floor today? What does each one who leaves actually cost you to replace and retrain?</t>
        </is>
      </c>
      <c r="I4" s="11" t="inlineStr">
        <is>
          <t>Garment lines run on trained hands. Attrition of 40-60% a year is normal in the sector and almost never costed.</t>
        </is>
      </c>
      <c r="J4" s="11" t="inlineStr">
        <is>
          <t>Calculate real monthly attrition by department. Interview 20-25 floor workers on why people leave (pay, timing, supervisor behaviour, facilities). Cost one replacement end to end. Draft 4 low-cost retention interventions with an implementation owner and timeline for each.</t>
        </is>
      </c>
      <c r="K4" s="11" t="inlineStr">
        <is>
          <t>Attrition dashboard + 25 worker interview summary + replacement cost model + 4 costed interventions</t>
        </is>
      </c>
      <c r="L4" s="8" t="n">
        <v>2</v>
      </c>
      <c r="M4" s="12" t="n">
        <v>46377</v>
      </c>
      <c r="N4" s="12" t="n">
        <v>46387</v>
      </c>
      <c r="O4" s="8">
        <f>NETWORKDAYS(M4,N4)-IF(AND(M4&lt;=DATE(2026,12,25),N4&gt;=DATE(2026,12,25)),1,0)</f>
        <v/>
      </c>
      <c r="P4" s="8" t="inlineStr">
        <is>
          <t>On-site</t>
        </is>
      </c>
      <c r="Q4" s="10" t="inlineStr">
        <is>
          <t>NCR — factory TBC</t>
        </is>
      </c>
      <c r="R4" s="13" t="inlineStr">
        <is>
          <t>Not yet approached</t>
        </is>
      </c>
      <c r="S4" s="10" t="inlineStr">
        <is>
          <t>Call Puneet, confirm headcount and shift timings</t>
        </is>
      </c>
    </row>
    <row r="5" ht="108" customHeight="1" s="27">
      <c r="A5" s="14" t="n">
        <v>4</v>
      </c>
      <c r="B5" s="15" t="inlineStr">
        <is>
          <t>Columbus</t>
        </is>
      </c>
      <c r="C5" s="14" t="inlineStr">
        <is>
          <t>Kapil (Kapil uncle)</t>
        </is>
      </c>
      <c r="D5" s="14" t="n"/>
      <c r="E5" s="10" t="inlineStr">
        <is>
          <t>Consumer products / distribution — confirm</t>
        </is>
      </c>
      <c r="F5" s="16" t="inlineStr">
        <is>
          <t>Name is ambiguous. Confirm the category and whether they sell through distributors, own retail, modern trade or online. Distribution model decides the whole project.</t>
        </is>
      </c>
      <c r="G5" s="14" t="inlineStr">
        <is>
          <t>How to increase sales</t>
        </is>
      </c>
      <c r="H5" s="16" t="inlineStr">
        <is>
          <t>Where are your sales actually leaking — is it outlets you never reach, outlets that stock you but do not reorder, or reorders you fail to service?</t>
        </is>
      </c>
      <c r="I5" s="16" t="inlineStr">
        <is>
          <t>Most mid-size brands assume a demand problem when they have a coverage or fill-rate problem. The two need opposite fixes.</t>
        </is>
      </c>
      <c r="J5" s="16" t="inlineStr">
        <is>
          <t>Break down the last 12 months of sales by channel, region and SKU. Identify the top 20% of outlets driving revenue and the dormant ones. Visit 15 retail points to check shelf presence, pricing and competitor facings. Build a targeted coverage-expansion plan.</t>
        </is>
      </c>
      <c r="K5" s="16" t="inlineStr">
        <is>
          <t>Sales breakdown (channel/region/SKU) + 15-outlet retail audit + coverage expansion plan with 90-day targets</t>
        </is>
      </c>
      <c r="L5" s="14" t="n">
        <v>2</v>
      </c>
      <c r="M5" s="17" t="n">
        <v>46377</v>
      </c>
      <c r="N5" s="17" t="n">
        <v>46387</v>
      </c>
      <c r="O5" s="14">
        <f>NETWORKDAYS(M5,N5)-IF(AND(M5&lt;=DATE(2026,12,25),N5&gt;=DATE(2026,12,25)),1,0)</f>
        <v/>
      </c>
      <c r="P5" s="14" t="inlineStr">
        <is>
          <t>Hybrid + field</t>
        </is>
      </c>
      <c r="Q5" s="10" t="inlineStr">
        <is>
          <t>NCR — office + market TBC</t>
        </is>
      </c>
      <c r="R5" s="13" t="inlineStr">
        <is>
          <t>Not yet approached</t>
        </is>
      </c>
      <c r="S5" s="10" t="inlineStr">
        <is>
          <t>Call Kapil, ask for 12 months of sales data in advance</t>
        </is>
      </c>
    </row>
    <row r="6" ht="108" customHeight="1" s="27">
      <c r="A6" s="8" t="n">
        <v>5</v>
      </c>
      <c r="B6" s="26" t="inlineStr">
        <is>
          <t>OneNDF</t>
        </is>
      </c>
      <c r="C6" s="8" t="inlineStr">
        <is>
          <t>via Khandu's father</t>
        </is>
      </c>
      <c r="D6" s="8" t="n"/>
      <c r="E6" s="10" t="inlineStr">
        <is>
          <t>Fintech — debt marketplace / lending</t>
        </is>
      </c>
      <c r="F6" s="11" t="inlineStr">
        <is>
          <t>Digital debt marketplace connecting borrowers with lenders and NBFCs. B2B, long sales cycle, sells trust and speed of sanction rather than a product. Confirm the exact segment they focus on.</t>
        </is>
      </c>
      <c r="G6" s="8" t="inlineStr">
        <is>
          <t>Social media marketing + competitor analysis</t>
        </is>
      </c>
      <c r="H6" s="11" t="inlineStr">
        <is>
          <t>In lending, the borrower picks whoever they already trust. What are you publishing that makes a CFO trust you before the first call?</t>
        </is>
      </c>
      <c r="I6" s="11" t="inlineStr">
        <is>
          <t>B2B fintech runs on inbound credibility. Content is the cheapest channel and the easiest one to benchmark.</t>
        </is>
      </c>
      <c r="J6" s="11" t="inlineStr">
        <is>
          <t>Benchmark OneNDF's LinkedIn and website content against 6 comparable fintech lenders: posting frequency, format, themes, engagement. Map their messaging and target segments. Produce a positioning gap analysis and a 6-week content plan with 10 drafted LinkedIn posts.</t>
        </is>
      </c>
      <c r="K6" s="11" t="inlineStr">
        <is>
          <t>Competitor content benchmark (6 firms) + positioning gap analysis + 6-week plan with 10 drafted posts</t>
        </is>
      </c>
      <c r="L6" s="8" t="n">
        <v>2</v>
      </c>
      <c r="M6" s="12" t="n">
        <v>46363</v>
      </c>
      <c r="N6" s="12" t="n">
        <v>46374</v>
      </c>
      <c r="O6" s="8">
        <f>NETWORKDAYS(M6,N6)-IF(AND(M6&lt;=DATE(2026,12,25),N6&gt;=DATE(2026,12,25)),1,0)</f>
        <v/>
      </c>
      <c r="P6" s="8" t="inlineStr">
        <is>
          <t>Remote</t>
        </is>
      </c>
      <c r="Q6" s="10" t="inlineStr">
        <is>
          <t>Remote — Delhi office optional</t>
        </is>
      </c>
      <c r="R6" s="13" t="inlineStr">
        <is>
          <t>Not yet approached</t>
        </is>
      </c>
      <c r="S6" s="10" t="inlineStr">
        <is>
          <t>Route the ask through Khandu first, then a direct call</t>
        </is>
      </c>
    </row>
    <row r="7" ht="108" customHeight="1" s="27">
      <c r="A7" s="14" t="n">
        <v>6</v>
      </c>
      <c r="B7" s="15" t="inlineStr">
        <is>
          <t>Starlink</t>
        </is>
      </c>
      <c r="C7" s="14" t="inlineStr">
        <is>
          <t>Varun</t>
        </is>
      </c>
      <c r="D7" s="14" t="n"/>
      <c r="E7" s="10" t="inlineStr">
        <is>
          <t>Electronics / devices — confirm (NOT SpaceX Starlink)</t>
        </is>
      </c>
      <c r="F7" s="16" t="inlineStr">
        <is>
          <t>Likely an Indian electronics manufacturer — biometric attendance, RFID or smart-card hardware. Confirm the product line, order volumes and whether they ship to dealers or direct to institutions.</t>
        </is>
      </c>
      <c r="G7" s="14" t="inlineStr">
        <is>
          <t>Logistics — dispatch planning</t>
        </is>
      </c>
      <c r="H7" s="16" t="inlineStr">
        <is>
          <t>From the moment an order is confirmed, how many hours pass before it leaves your gate, and where exactly does that time go?</t>
        </is>
      </c>
      <c r="I7" s="16" t="inlineStr">
        <is>
          <t>Dispatch delay is usually invisible because nobody times it. Timing it is a two-week job with immediate payback.</t>
        </is>
      </c>
      <c r="J7" s="16" t="inlineStr">
        <is>
          <t>Time-and-motion study of the order-to-dispatch cycle across 30-40 recent orders. Map every handoff (order confirm, picking, packing, invoicing, courier handover). Identify the three biggest delays. Propose a revised dispatch schedule and a one-page daily dispatch tracker the team can actually maintain.</t>
        </is>
      </c>
      <c r="K7" s="16" t="inlineStr">
        <is>
          <t>Process map + delay analysis on 30+ orders + revised dispatch plan + daily tracker template</t>
        </is>
      </c>
      <c r="L7" s="14" t="n">
        <v>2</v>
      </c>
      <c r="M7" s="17" t="n">
        <v>46377</v>
      </c>
      <c r="N7" s="17" t="n">
        <v>46387</v>
      </c>
      <c r="O7" s="14">
        <f>NETWORKDAYS(M7,N7)-IF(AND(M7&lt;=DATE(2026,12,25),N7&gt;=DATE(2026,12,25)),1,0)</f>
        <v/>
      </c>
      <c r="P7" s="14" t="inlineStr">
        <is>
          <t>On-site</t>
        </is>
      </c>
      <c r="Q7" s="10" t="inlineStr">
        <is>
          <t>NCR — plant/warehouse TBC</t>
        </is>
      </c>
      <c r="R7" s="13" t="inlineStr">
        <is>
          <t>Not yet approached</t>
        </is>
      </c>
      <c r="S7" s="10" t="inlineStr">
        <is>
          <t>Call Varun, confirm which Starlink and product line</t>
        </is>
      </c>
    </row>
    <row r="8" ht="108" customHeight="1" s="27">
      <c r="A8" s="8" t="n">
        <v>7</v>
      </c>
      <c r="B8" s="26" t="inlineStr">
        <is>
          <t>Today Footwear</t>
        </is>
      </c>
      <c r="C8" s="8" t="inlineStr">
        <is>
          <t>Vishal</t>
        </is>
      </c>
      <c r="D8" s="8" t="n"/>
      <c r="E8" s="10" t="inlineStr">
        <is>
          <t>Footwear manufacturing</t>
        </is>
      </c>
      <c r="F8" s="11" t="inlineStr">
        <is>
          <t>Footwear manufacturer. Cutting, moulding and assembly generate continuous offcut waste in leather, EVA, PU and rubber. Confirm monthly production volume and whether they supply brands or their own label.</t>
        </is>
      </c>
      <c r="G8" s="8" t="inlineStr">
        <is>
          <t>Waste management</t>
        </is>
      </c>
      <c r="H8" s="11" t="inlineStr">
        <is>
          <t>What percentage of every kilo of material you buy actually leaves the gate inside a shoe, and what happens to the rest?</t>
        </is>
      </c>
      <c r="I8" s="11" t="inlineStr">
        <is>
          <t>Material is the largest cost line in footwear. Even 2% recovered scrap is straight margin.</t>
        </is>
      </c>
      <c r="J8" s="11" t="inlineStr">
        <is>
          <t>Measure scrap generated per process stage for two weeks. Categorise by material type and check current disposal route and price realised. Benchmark what NCR scrap buyers pay for each category. Propose segregation at source plus 2-3 reuse or resale routes with an estimated annual value.</t>
        </is>
      </c>
      <c r="K8" s="11" t="inlineStr">
        <is>
          <t>Scrap audit by stage and material + disposal cost analysis + segregation SOP + costed recovery proposal</t>
        </is>
      </c>
      <c r="L8" s="8" t="n">
        <v>2</v>
      </c>
      <c r="M8" s="12" t="n">
        <v>46377</v>
      </c>
      <c r="N8" s="12" t="n">
        <v>46387</v>
      </c>
      <c r="O8" s="8">
        <f>NETWORKDAYS(M8,N8)-IF(AND(M8&lt;=DATE(2026,12,25),N8&gt;=DATE(2026,12,25)),1,0)</f>
        <v/>
      </c>
      <c r="P8" s="8" t="inlineStr">
        <is>
          <t>On-site</t>
        </is>
      </c>
      <c r="Q8" s="10" t="inlineStr">
        <is>
          <t>NCR / Bahadurgarh belt — TBC</t>
        </is>
      </c>
      <c r="R8" s="13" t="inlineStr">
        <is>
          <t>Not yet approached</t>
        </is>
      </c>
      <c r="S8" s="10" t="inlineStr">
        <is>
          <t>Call Vishal, ask permission for floor-level measurement</t>
        </is>
      </c>
    </row>
    <row r="9" ht="108" customHeight="1" s="27">
      <c r="A9" s="14" t="n">
        <v>8</v>
      </c>
      <c r="B9" s="15" t="inlineStr">
        <is>
          <t>Giriraj Coated</t>
        </is>
      </c>
      <c r="C9" s="14" t="n"/>
      <c r="D9" s="14" t="n"/>
      <c r="E9" s="10" t="inlineStr">
        <is>
          <t>Coated fabrics / coated paper — confirm</t>
        </is>
      </c>
      <c r="F9" s="16" t="inlineStr">
        <is>
          <t>Likely a coated products manufacturer (coated fabric, tarpaulin, or coated paper). Process industry, continuous shifts, supervisor-heavy structure. Confirm product and shift pattern.</t>
        </is>
      </c>
      <c r="G9" s="14" t="inlineStr">
        <is>
          <t>Structure report — suggestion box + labour interaction</t>
        </is>
      </c>
      <c r="H9" s="16" t="inlineStr">
        <is>
          <t>Your supervisors tell you what is going wrong. When did you last hear it from the person operating the machine?</t>
        </is>
      </c>
      <c r="I9" s="16" t="inlineStr">
        <is>
          <t>Floor-level problems surface months late when there is no channel. A working feedback loop is cheap and visible.</t>
        </is>
      </c>
      <c r="J9" s="16" t="inlineStr">
        <is>
          <t>Map the current reporting structure and where information stops. Run structured interactions with 25-30 workers across shifts. Design and physically launch a suggestion mechanism (box plus a weekly 15-minute floor huddle) with a defined review owner and response SLA. Log and categorise the first two weeks of suggestions.</t>
        </is>
      </c>
      <c r="K9" s="16" t="inlineStr">
        <is>
          <t>Org and information-flow map + 30 worker interaction notes + live suggestion system with SOP + first suggestion log</t>
        </is>
      </c>
      <c r="L9" s="14" t="n">
        <v>2</v>
      </c>
      <c r="M9" s="17" t="n">
        <v>46377</v>
      </c>
      <c r="N9" s="17" t="n">
        <v>46387</v>
      </c>
      <c r="O9" s="14">
        <f>NETWORKDAYS(M9,N9)-IF(AND(M9&lt;=DATE(2026,12,25),N9&gt;=DATE(2026,12,25)),1,0)</f>
        <v/>
      </c>
      <c r="P9" s="14" t="inlineStr">
        <is>
          <t>On-site</t>
        </is>
      </c>
      <c r="Q9" s="10" t="inlineStr">
        <is>
          <t>NCR — plant TBC</t>
        </is>
      </c>
      <c r="R9" s="13" t="inlineStr">
        <is>
          <t>Not yet approached</t>
        </is>
      </c>
      <c r="S9" s="10" t="inlineStr">
        <is>
          <t>Identify the right contact — no name yet</t>
        </is>
      </c>
    </row>
    <row r="10" ht="108" customHeight="1" s="27">
      <c r="A10" s="8" t="n">
        <v>9</v>
      </c>
      <c r="B10" s="26" t="inlineStr">
        <is>
          <t>SSF</t>
        </is>
      </c>
      <c r="C10" s="8" t="n"/>
      <c r="D10" s="8" t="n"/>
      <c r="E10" s="10" t="inlineStr">
        <is>
          <t>UNKNOWN — full name needed</t>
        </is>
      </c>
      <c r="F10" s="11" t="inlineStr">
        <is>
          <t>You have given initials only. Get the full registered name and category before anything else; the entire project scope depends on it. Placeholder below assumes a manufacturing or distribution unit.</t>
        </is>
      </c>
      <c r="G10" s="8" t="inlineStr">
        <is>
          <t>Logistics — inventory and warehouse</t>
        </is>
      </c>
      <c r="H10" s="11" t="inlineStr">
        <is>
          <t>How much of your working capital is sitting as stock you will not move this quarter?</t>
        </is>
      </c>
      <c r="I10" s="11" t="inlineStr">
        <is>
          <t>Slow-moving inventory is silent cash. Counting it is exactly the kind of job an outsider does better than the team living with it.</t>
        </is>
      </c>
      <c r="J10" s="11" t="inlineStr">
        <is>
          <t>Physical stock audit against system records. Classify inventory by movement (fast / slow / dead) over 12 months. Quantify capital locked in the slow and dead categories. Propose reorder levels for the top 30 SKUs and a disposal route for dead stock.</t>
        </is>
      </c>
      <c r="K10" s="11" t="inlineStr">
        <is>
          <t>Stock reconciliation + ABC movement classification + locked-capital estimate + reorder level table</t>
        </is>
      </c>
      <c r="L10" s="8" t="n">
        <v>2</v>
      </c>
      <c r="M10" s="12" t="n">
        <v>46377</v>
      </c>
      <c r="N10" s="12" t="n">
        <v>46387</v>
      </c>
      <c r="O10" s="8">
        <f>NETWORKDAYS(M10,N10)-IF(AND(M10&lt;=DATE(2026,12,25),N10&gt;=DATE(2026,12,25)),1,0)</f>
        <v/>
      </c>
      <c r="P10" s="8" t="inlineStr">
        <is>
          <t>On-site</t>
        </is>
      </c>
      <c r="Q10" s="10" t="inlineStr">
        <is>
          <t>TBC</t>
        </is>
      </c>
      <c r="R10" s="13" t="inlineStr">
        <is>
          <t>Not yet approached</t>
        </is>
      </c>
      <c r="S10" s="10" t="inlineStr">
        <is>
          <t>Get full company name and a contact person</t>
        </is>
      </c>
    </row>
    <row r="11" ht="108" customHeight="1" s="27">
      <c r="A11" s="14" t="n">
        <v>10</v>
      </c>
      <c r="B11" s="15" t="inlineStr">
        <is>
          <t>Adhi Foam</t>
        </is>
      </c>
      <c r="C11" s="14" t="n"/>
      <c r="D11" s="14" t="n"/>
      <c r="E11" s="10" t="inlineStr">
        <is>
          <t>Foam / mattress manufacturing — confirm</t>
        </is>
      </c>
      <c r="F11" s="16" t="inlineStr">
        <is>
          <t>Likely PU foam or mattress manufacturing, selling through dealers and increasingly through online marketplaces. Confirm whether they sell own-brand retail or supply foam to furniture makers.</t>
        </is>
      </c>
      <c r="G11" s="14" t="inlineStr">
        <is>
          <t>How to increase sales</t>
        </is>
      </c>
      <c r="H11" s="16" t="inlineStr">
        <is>
          <t>A mattress buyer today compares six brands online before walking into a shop. What do they find when they search for yours?</t>
        </is>
      </c>
      <c r="I11" s="16" t="inlineStr">
        <is>
          <t>Foam and mattress buying has shifted to search-first. Dealer-only brands lose the comparison before the showroom visit.</t>
        </is>
      </c>
      <c r="J11" s="16" t="inlineStr">
        <is>
          <t>Audit Adhi Foam's presence on Amazon, Flipkart and search versus 5 competitors: listings, pricing, images, review volume and rating. Interview 10 dealers on what customers ask for and object to. Build a marketplace listing improvement plan and a dealer-support kit.</t>
        </is>
      </c>
      <c r="K11" s="16" t="inlineStr">
        <is>
          <t>Marketplace and search audit vs 5 competitors + 10 dealer interviews + listing improvement plan + dealer kit</t>
        </is>
      </c>
      <c r="L11" s="14" t="n">
        <v>2</v>
      </c>
      <c r="M11" s="17" t="n">
        <v>46363</v>
      </c>
      <c r="N11" s="17" t="n">
        <v>46374</v>
      </c>
      <c r="O11" s="14">
        <f>NETWORKDAYS(M11,N11)-IF(AND(M11&lt;=DATE(2026,12,25),N11&gt;=DATE(2026,12,25)),1,0)</f>
        <v/>
      </c>
      <c r="P11" s="14" t="inlineStr">
        <is>
          <t>Remote + dealer visits</t>
        </is>
      </c>
      <c r="Q11" s="10" t="inlineStr">
        <is>
          <t>NCR — TBC</t>
        </is>
      </c>
      <c r="R11" s="13" t="inlineStr">
        <is>
          <t>Not yet approached</t>
        </is>
      </c>
      <c r="S11" s="10" t="inlineStr">
        <is>
          <t>Find a contact — no name yet</t>
        </is>
      </c>
    </row>
    <row r="12" ht="108" customHeight="1" s="27">
      <c r="A12" s="8" t="n">
        <v>11</v>
      </c>
      <c r="B12" s="26" t="inlineStr">
        <is>
          <t>Kanodia</t>
        </is>
      </c>
      <c r="C12" s="8" t="n"/>
      <c r="D12" s="8" t="n"/>
      <c r="E12" s="10" t="inlineStr">
        <is>
          <t>Cement / building materials — confirm</t>
        </is>
      </c>
      <c r="F12" s="11" t="inlineStr">
        <is>
          <t>Likely Kanodia Group (cement and building materials, Greater Noida) but confirm — there are several Kanodia businesses. Dealer-driven distribution, competes on brand trust, price and dealer margin.</t>
        </is>
      </c>
      <c r="G12" s="8" t="inlineStr">
        <is>
          <t>Competitor analysis + dealer feedback</t>
        </is>
      </c>
      <c r="H12" s="11" t="inlineStr">
        <is>
          <t>Your dealers stock you and three competitors. What makes them push one bag over another at the counter?</t>
        </is>
      </c>
      <c r="I12" s="11" t="inlineStr">
        <is>
          <t>In building materials the dealer is the real decision-maker, and dealer sentiment is rarely measured systematically.</t>
        </is>
      </c>
      <c r="J12" s="11" t="inlineStr">
        <is>
          <t>Benchmark 5 competing brands on price, dealer margin, credit period, delivery time and promotional support. Survey 20 dealers on stocking and push preference. Identify the two levers where the gap is widest and cheapest to close.</t>
        </is>
      </c>
      <c r="K12" s="11" t="inlineStr">
        <is>
          <t>5-brand competitor matrix + 20-dealer survey with findings + 2 prioritised recommendations</t>
        </is>
      </c>
      <c r="L12" s="8" t="n">
        <v>2</v>
      </c>
      <c r="M12" s="12" t="n">
        <v>46363</v>
      </c>
      <c r="N12" s="12" t="n">
        <v>46374</v>
      </c>
      <c r="O12" s="8">
        <f>NETWORKDAYS(M12,N12)-IF(AND(M12&lt;=DATE(2026,12,25),N12&gt;=DATE(2026,12,25)),1,0)</f>
        <v/>
      </c>
      <c r="P12" s="8" t="inlineStr">
        <is>
          <t>Hybrid + field</t>
        </is>
      </c>
      <c r="Q12" s="10" t="inlineStr">
        <is>
          <t>Greater Noida / NCR — TBC</t>
        </is>
      </c>
      <c r="R12" s="13" t="inlineStr">
        <is>
          <t>Not yet approached</t>
        </is>
      </c>
      <c r="S12" s="10" t="inlineStr">
        <is>
          <t>Find a contact — no name yet</t>
        </is>
      </c>
    </row>
    <row r="14">
      <c r="B14" s="18" t="inlineStr">
        <is>
          <t>TOTALS</t>
        </is>
      </c>
      <c r="K14" s="19" t="inlineStr">
        <is>
          <t>Seats offered:</t>
        </is>
      </c>
      <c r="L14" s="19">
        <f>SUM(L2:L12)</f>
        <v/>
      </c>
    </row>
    <row r="15">
      <c r="K15" s="19" t="inlineStr">
        <is>
          <t>Confirmed:</t>
        </is>
      </c>
      <c r="L15" s="19">
        <f>SUMIF(R2:R12,"CONFIRMED",L2:L12)</f>
        <v/>
      </c>
    </row>
    <row r="16">
      <c r="K16" s="19" t="inlineStr">
        <is>
          <t>Companies confirmed:</t>
        </is>
      </c>
      <c r="L16" s="19">
        <f>COUNTIF(R2:R12,"CONFIRMED")</f>
        <v/>
      </c>
    </row>
    <row r="17">
      <c r="K17" s="19" t="inlineStr">
        <is>
          <t>EKANEX target:</t>
        </is>
      </c>
      <c r="L17" s="22" t="n">
        <v>15</v>
      </c>
      <c r="M17" s="23" t="inlineStr">
        <is>
          <t>partner orgs by Dec 2026</t>
        </is>
      </c>
    </row>
    <row r="21" ht="15.75" customHeight="1" s="27"/>
    <row r="22" ht="15.75" customHeight="1" s="27"/>
    <row r="23" ht="15.75" customHeight="1" s="27"/>
    <row r="24" ht="15.75" customHeight="1" s="27"/>
    <row r="25" ht="15.75" customHeight="1" s="27"/>
    <row r="26" ht="15.75" customHeight="1" s="27"/>
    <row r="27" ht="15.75" customHeight="1" s="27"/>
    <row r="28" ht="15.75" customHeight="1" s="27"/>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autoFilter ref="$A$1:$S$12"/>
  <dataValidations count="2">
    <dataValidation sqref="R2:R12" showDropDown="0" showInputMessage="0" showErrorMessage="0" allowBlank="1" type="list">
      <formula1>"Not yet approached,Contacted,Meeting scheduled,Scope agreed,CONFIRMED,Declined,On hold"</formula1>
    </dataValidation>
    <dataValidation sqref="P2:P12" showDropDown="0" showInputMessage="0" showErrorMessage="0" allowBlank="1" type="list">
      <formula1>"On-site,Hybrid,Remote,Hybrid + field,Remote + dealer visits,Remote + 2 site visits"</formula1>
    </dataValidation>
  </dataValidation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M23"/>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4" customWidth="1" style="27" min="1" max="1"/>
    <col width="17" customWidth="1" style="27" min="2" max="3"/>
    <col width="26" customWidth="1" style="27" min="4" max="4"/>
    <col width="58" customWidth="1" style="27" min="5" max="5"/>
    <col width="34" customWidth="1" style="27" min="6" max="6"/>
    <col width="12" customWidth="1" style="27" min="7" max="9"/>
    <col width="20" customWidth="1" style="27" min="10" max="10"/>
    <col width="24" customWidth="1" style="27" min="11" max="11"/>
    <col width="20" customWidth="1" style="27" min="12" max="12"/>
    <col width="22" customWidth="1" style="27" min="13" max="13"/>
    <col width="8.710000000000001" customWidth="1" style="27" min="14" max="26"/>
  </cols>
  <sheetData>
    <row r="1" ht="36" customHeight="1" s="27">
      <c r="A1" s="2" t="inlineStr">
        <is>
          <t>#</t>
        </is>
      </c>
      <c r="B1" s="2" t="inlineStr">
        <is>
          <t>Company</t>
        </is>
      </c>
      <c r="C1" s="2" t="inlineStr">
        <is>
          <t>Seat</t>
        </is>
      </c>
      <c r="D1" s="2" t="inlineStr">
        <is>
          <t>Role Title</t>
        </is>
      </c>
      <c r="E1" s="2" t="inlineStr">
        <is>
          <t>What This Intern Actually Does</t>
        </is>
      </c>
      <c r="F1" s="2" t="inlineStr">
        <is>
          <t>Skills / Tools Needed</t>
        </is>
      </c>
      <c r="G1" s="2" t="inlineStr">
        <is>
          <t>Reports To</t>
        </is>
      </c>
      <c r="H1" s="2" t="inlineStr">
        <is>
          <t>Start</t>
        </is>
      </c>
      <c r="I1" s="2" t="inlineStr">
        <is>
          <t>End</t>
        </is>
      </c>
      <c r="J1" s="2" t="inlineStr">
        <is>
          <t>Mode</t>
        </is>
      </c>
      <c r="K1" s="2" t="inlineStr">
        <is>
          <t>Location</t>
        </is>
      </c>
      <c r="L1" s="2" t="inlineStr">
        <is>
          <t>Student Assigned</t>
        </is>
      </c>
      <c r="M1" s="2" t="inlineStr">
        <is>
          <t>Status</t>
        </is>
      </c>
    </row>
    <row r="2" ht="57.75" customHeight="1" s="27">
      <c r="A2" s="8" t="n">
        <v>1</v>
      </c>
      <c r="B2" s="26" t="inlineStr">
        <is>
          <t>Paras</t>
        </is>
      </c>
      <c r="C2" s="8" t="inlineStr">
        <is>
          <t>Field &amp; Content</t>
        </is>
      </c>
      <c r="D2" s="11" t="inlineStr">
        <is>
          <t>Digital Content Researcher</t>
        </is>
      </c>
      <c r="E2" s="11" t="inlineStr">
        <is>
          <t>Pulls every post, page and listing the company owns, logs 90 days of activity in a tracker, drafts the 12 posts.</t>
        </is>
      </c>
      <c r="F2" s="11" t="inlineStr">
        <is>
          <t>Instagram/LinkedIn native use, Canva, Google Sheets</t>
        </is>
      </c>
      <c r="G2" s="8" t="inlineStr">
        <is>
          <t>Ashu</t>
        </is>
      </c>
      <c r="H2" s="12" t="n">
        <v>46363</v>
      </c>
      <c r="I2" s="12" t="n">
        <v>46374</v>
      </c>
      <c r="J2" s="8" t="inlineStr">
        <is>
          <t>Remote + 2 site visits</t>
        </is>
      </c>
      <c r="K2" s="11" t="inlineStr">
        <is>
          <t>NCR — office TBC</t>
        </is>
      </c>
      <c r="L2" s="13" t="n"/>
      <c r="M2" s="13" t="inlineStr">
        <is>
          <t>Seat not yet confirmed</t>
        </is>
      </c>
    </row>
    <row r="3" ht="57.75" customHeight="1" s="27">
      <c r="A3" s="14" t="n">
        <v>2</v>
      </c>
      <c r="B3" s="15" t="inlineStr">
        <is>
          <t>Paras</t>
        </is>
      </c>
      <c r="C3" s="14" t="inlineStr">
        <is>
          <t>Analysis</t>
        </is>
      </c>
      <c r="D3" s="16" t="inlineStr">
        <is>
          <t>Competitor Benchmark Analyst</t>
        </is>
      </c>
      <c r="E3" s="16" t="inlineStr">
        <is>
          <t>Builds the 4-competitor benchmark, calculates engagement rates, assembles the final audit deck.</t>
        </is>
      </c>
      <c r="F3" s="16" t="inlineStr">
        <is>
          <t>Sheets (pivot tables), Slides, basic analytics reading</t>
        </is>
      </c>
      <c r="G3" s="14" t="inlineStr">
        <is>
          <t>Ashu</t>
        </is>
      </c>
      <c r="H3" s="17" t="n">
        <v>46363</v>
      </c>
      <c r="I3" s="17" t="n">
        <v>46374</v>
      </c>
      <c r="J3" s="14" t="inlineStr">
        <is>
          <t>Remote + 2 site visits</t>
        </is>
      </c>
      <c r="K3" s="16" t="inlineStr">
        <is>
          <t>NCR — office TBC</t>
        </is>
      </c>
      <c r="L3" s="13" t="n"/>
      <c r="M3" s="13" t="inlineStr">
        <is>
          <t>Seat not yet confirmed</t>
        </is>
      </c>
    </row>
    <row r="4" ht="57.75" customHeight="1" s="27">
      <c r="A4" s="8" t="n">
        <v>3</v>
      </c>
      <c r="B4" s="26" t="inlineStr">
        <is>
          <t>Balaji Aluminium</t>
        </is>
      </c>
      <c r="C4" s="8" t="inlineStr">
        <is>
          <t>Primary Research</t>
        </is>
      </c>
      <c r="D4" s="11" t="inlineStr">
        <is>
          <t>Market Research Associate</t>
        </is>
      </c>
      <c r="E4" s="11" t="inlineStr">
        <is>
          <t>Runs the 10 dealer and fabricator calls, writes up interview notes, collects live rate quotes.</t>
        </is>
      </c>
      <c r="F4" s="11" t="inlineStr">
        <is>
          <t>Phone confidence, Hindi + English, structured note-taking</t>
        </is>
      </c>
      <c r="G4" s="8" t="inlineStr">
        <is>
          <t>Ankur</t>
        </is>
      </c>
      <c r="H4" s="12" t="n">
        <v>46363</v>
      </c>
      <c r="I4" s="12" t="n">
        <v>46374</v>
      </c>
      <c r="J4" s="8" t="inlineStr">
        <is>
          <t>Hybrid</t>
        </is>
      </c>
      <c r="K4" s="11" t="inlineStr">
        <is>
          <t>NCR — plant/office TBC</t>
        </is>
      </c>
      <c r="L4" s="13" t="n"/>
      <c r="M4" s="13" t="inlineStr">
        <is>
          <t>Seat not yet confirmed</t>
        </is>
      </c>
    </row>
    <row r="5" ht="57.75" customHeight="1" s="27">
      <c r="A5" s="14" t="n">
        <v>4</v>
      </c>
      <c r="B5" s="15" t="inlineStr">
        <is>
          <t>Balaji Aluminium</t>
        </is>
      </c>
      <c r="C5" s="14" t="inlineStr">
        <is>
          <t>Analysis</t>
        </is>
      </c>
      <c r="D5" s="16" t="inlineStr">
        <is>
          <t>Competitor Intelligence Analyst</t>
        </is>
      </c>
      <c r="E5" s="16" t="inlineStr">
        <is>
          <t>Builds the 8x10 competitor matrix from public data and the call notes, scores Balaji, writes the positioning summary.</t>
        </is>
      </c>
      <c r="F5" s="16" t="inlineStr">
        <is>
          <t>Sheets, desk research, ability to read a GST/MCA listing</t>
        </is>
      </c>
      <c r="G5" s="14" t="inlineStr">
        <is>
          <t>Ankur</t>
        </is>
      </c>
      <c r="H5" s="17" t="n">
        <v>46363</v>
      </c>
      <c r="I5" s="17" t="n">
        <v>46374</v>
      </c>
      <c r="J5" s="14" t="inlineStr">
        <is>
          <t>Hybrid</t>
        </is>
      </c>
      <c r="K5" s="16" t="inlineStr">
        <is>
          <t>NCR — plant/office TBC</t>
        </is>
      </c>
      <c r="L5" s="13" t="n"/>
      <c r="M5" s="13" t="inlineStr">
        <is>
          <t>Seat not yet confirmed</t>
        </is>
      </c>
    </row>
    <row r="6" ht="57.75" customHeight="1" s="27">
      <c r="A6" s="8" t="n">
        <v>5</v>
      </c>
      <c r="B6" s="26" t="inlineStr">
        <is>
          <t>True Fit</t>
        </is>
      </c>
      <c r="C6" s="8" t="inlineStr">
        <is>
          <t>Floor Research</t>
        </is>
      </c>
      <c r="D6" s="11" t="inlineStr">
        <is>
          <t>HR Field Researcher</t>
        </is>
      </c>
      <c r="E6" s="11" t="inlineStr">
        <is>
          <t>Conducts the 20-25 worker interviews on the floor across shifts, in Hindi, and logs responses without naming individuals.</t>
        </is>
      </c>
      <c r="F6" s="11" t="inlineStr">
        <is>
          <t>Hindi fluency, interview discipline, confidentiality</t>
        </is>
      </c>
      <c r="G6" s="8" t="inlineStr">
        <is>
          <t>Puneet</t>
        </is>
      </c>
      <c r="H6" s="12" t="n">
        <v>46377</v>
      </c>
      <c r="I6" s="12" t="n">
        <v>46387</v>
      </c>
      <c r="J6" s="8" t="inlineStr">
        <is>
          <t>On-site</t>
        </is>
      </c>
      <c r="K6" s="11" t="inlineStr">
        <is>
          <t>NCR — factory TBC</t>
        </is>
      </c>
      <c r="L6" s="13" t="n"/>
      <c r="M6" s="13" t="inlineStr">
        <is>
          <t>Seat not yet confirmed</t>
        </is>
      </c>
    </row>
    <row r="7" ht="57.75" customHeight="1" s="27">
      <c r="A7" s="14" t="n">
        <v>6</v>
      </c>
      <c r="B7" s="15" t="inlineStr">
        <is>
          <t>True Fit</t>
        </is>
      </c>
      <c r="C7" s="14" t="inlineStr">
        <is>
          <t>Analysis &amp; Policy</t>
        </is>
      </c>
      <c r="D7" s="16" t="inlineStr">
        <is>
          <t>People Analytics &amp; Policy Intern</t>
        </is>
      </c>
      <c r="E7" s="16" t="inlineStr">
        <is>
          <t>Builds the attrition dashboard from HR records, costs one replacement end to end, drafts the 4 interventions.</t>
        </is>
      </c>
      <c r="F7" s="16" t="inlineStr">
        <is>
          <t>Sheets, basic cost modelling, policy writing</t>
        </is>
      </c>
      <c r="G7" s="14" t="inlineStr">
        <is>
          <t>Puneet</t>
        </is>
      </c>
      <c r="H7" s="17" t="n">
        <v>46377</v>
      </c>
      <c r="I7" s="17" t="n">
        <v>46387</v>
      </c>
      <c r="J7" s="14" t="inlineStr">
        <is>
          <t>On-site</t>
        </is>
      </c>
      <c r="K7" s="16" t="inlineStr">
        <is>
          <t>NCR — factory TBC</t>
        </is>
      </c>
      <c r="L7" s="13" t="n"/>
      <c r="M7" s="13" t="inlineStr">
        <is>
          <t>Seat not yet confirmed</t>
        </is>
      </c>
    </row>
    <row r="8" ht="57.75" customHeight="1" s="27">
      <c r="A8" s="8" t="n">
        <v>7</v>
      </c>
      <c r="B8" s="26" t="inlineStr">
        <is>
          <t>Columbus</t>
        </is>
      </c>
      <c r="C8" s="8" t="inlineStr">
        <is>
          <t>Field Audit</t>
        </is>
      </c>
      <c r="D8" s="11" t="inlineStr">
        <is>
          <t>Retail Audit Intern</t>
        </is>
      </c>
      <c r="E8" s="11" t="inlineStr">
        <is>
          <t>Visits the 15 retail points, photographs shelf presence, records pricing and competitor facings on a standard form.</t>
        </is>
      </c>
      <c r="F8" s="11" t="inlineStr">
        <is>
          <t>Field comfort, mobile forms, punctuality</t>
        </is>
      </c>
      <c r="G8" s="8" t="inlineStr">
        <is>
          <t>Kapil</t>
        </is>
      </c>
      <c r="H8" s="12" t="n">
        <v>46377</v>
      </c>
      <c r="I8" s="12" t="n">
        <v>46387</v>
      </c>
      <c r="J8" s="8" t="inlineStr">
        <is>
          <t>Hybrid + field</t>
        </is>
      </c>
      <c r="K8" s="11" t="inlineStr">
        <is>
          <t>NCR — office + market TBC</t>
        </is>
      </c>
      <c r="L8" s="13" t="n"/>
      <c r="M8" s="13" t="inlineStr">
        <is>
          <t>Seat not yet confirmed</t>
        </is>
      </c>
    </row>
    <row r="9" ht="57.75" customHeight="1" s="27">
      <c r="A9" s="14" t="n">
        <v>8</v>
      </c>
      <c r="B9" s="15" t="inlineStr">
        <is>
          <t>Columbus</t>
        </is>
      </c>
      <c r="C9" s="14" t="inlineStr">
        <is>
          <t>Sales Analysis</t>
        </is>
      </c>
      <c r="D9" s="16" t="inlineStr">
        <is>
          <t>Sales Data Analyst</t>
        </is>
      </c>
      <c r="E9" s="16" t="inlineStr">
        <is>
          <t>Cuts 12 months of sales by channel, region and SKU, finds the dormant outlets, builds the coverage plan.</t>
        </is>
      </c>
      <c r="F9" s="16" t="inlineStr">
        <is>
          <t>Sheets (pivots, VLOOKUP), charting</t>
        </is>
      </c>
      <c r="G9" s="14" t="inlineStr">
        <is>
          <t>Kapil</t>
        </is>
      </c>
      <c r="H9" s="17" t="n">
        <v>46377</v>
      </c>
      <c r="I9" s="17" t="n">
        <v>46387</v>
      </c>
      <c r="J9" s="14" t="inlineStr">
        <is>
          <t>Hybrid + field</t>
        </is>
      </c>
      <c r="K9" s="16" t="inlineStr">
        <is>
          <t>NCR — office + market TBC</t>
        </is>
      </c>
      <c r="L9" s="13" t="n"/>
      <c r="M9" s="13" t="inlineStr">
        <is>
          <t>Seat not yet confirmed</t>
        </is>
      </c>
    </row>
    <row r="10" ht="57.75" customHeight="1" s="27">
      <c r="A10" s="8" t="n">
        <v>9</v>
      </c>
      <c r="B10" s="26" t="inlineStr">
        <is>
          <t>OneNDF</t>
        </is>
      </c>
      <c r="C10" s="8" t="inlineStr">
        <is>
          <t>Content</t>
        </is>
      </c>
      <c r="D10" s="11" t="inlineStr">
        <is>
          <t>B2B Content Intern</t>
        </is>
      </c>
      <c r="E10" s="11" t="inlineStr">
        <is>
          <t>Maps competitor content themes and drafts the 10 LinkedIn posts in the company's voice.</t>
        </is>
      </c>
      <c r="F10" s="11" t="inlineStr">
        <is>
          <t>LinkedIn literacy, clear business writing</t>
        </is>
      </c>
      <c r="G10" s="8" t="inlineStr">
        <is>
          <t>TBC</t>
        </is>
      </c>
      <c r="H10" s="12" t="n">
        <v>46363</v>
      </c>
      <c r="I10" s="12" t="n">
        <v>46374</v>
      </c>
      <c r="J10" s="8" t="inlineStr">
        <is>
          <t>Remote</t>
        </is>
      </c>
      <c r="K10" s="11" t="inlineStr">
        <is>
          <t>Remote — Delhi office optional</t>
        </is>
      </c>
      <c r="L10" s="13" t="n"/>
      <c r="M10" s="13" t="inlineStr">
        <is>
          <t>Seat not yet confirmed</t>
        </is>
      </c>
    </row>
    <row r="11" ht="57.75" customHeight="1" s="27">
      <c r="A11" s="14" t="n">
        <v>10</v>
      </c>
      <c r="B11" s="15" t="inlineStr">
        <is>
          <t>OneNDF</t>
        </is>
      </c>
      <c r="C11" s="14" t="inlineStr">
        <is>
          <t>Market Analysis</t>
        </is>
      </c>
      <c r="D11" s="16" t="inlineStr">
        <is>
          <t>Fintech Market Analyst</t>
        </is>
      </c>
      <c r="E11" s="16" t="inlineStr">
        <is>
          <t>Benchmarks the 6 comparable lenders on positioning and segments, writes the gap analysis.</t>
        </is>
      </c>
      <c r="F11" s="16" t="inlineStr">
        <is>
          <t>Desk research, finance vocabulary, Slides</t>
        </is>
      </c>
      <c r="G11" s="14" t="inlineStr">
        <is>
          <t>TBC</t>
        </is>
      </c>
      <c r="H11" s="17" t="n">
        <v>46363</v>
      </c>
      <c r="I11" s="17" t="n">
        <v>46374</v>
      </c>
      <c r="J11" s="14" t="inlineStr">
        <is>
          <t>Remote</t>
        </is>
      </c>
      <c r="K11" s="16" t="inlineStr">
        <is>
          <t>Remote — Delhi office optional</t>
        </is>
      </c>
      <c r="L11" s="13" t="n"/>
      <c r="M11" s="13" t="inlineStr">
        <is>
          <t>Seat not yet confirmed</t>
        </is>
      </c>
    </row>
    <row r="12" ht="57.75" customHeight="1" s="27">
      <c r="A12" s="8" t="n">
        <v>11</v>
      </c>
      <c r="B12" s="26" t="n"/>
      <c r="C12" s="8" t="n"/>
      <c r="D12" s="11" t="n"/>
      <c r="E12" s="11" t="n"/>
      <c r="F12" s="11" t="n"/>
      <c r="G12" s="8" t="n"/>
      <c r="H12" s="12" t="n"/>
      <c r="I12" s="8" t="n"/>
      <c r="J12" s="11" t="n"/>
      <c r="K12" s="13" t="n"/>
      <c r="L12" s="13" t="n"/>
    </row>
    <row r="13" ht="57.75" customHeight="1" s="27">
      <c r="A13" s="14" t="n">
        <v>12</v>
      </c>
      <c r="B13" s="15" t="n"/>
      <c r="C13" s="14" t="n"/>
      <c r="D13" s="16" t="n"/>
      <c r="E13" s="16" t="n"/>
      <c r="F13" s="16" t="n"/>
      <c r="G13" s="14" t="n"/>
      <c r="H13" s="17" t="n"/>
      <c r="I13" s="14" t="n"/>
      <c r="J13" s="16" t="n"/>
      <c r="K13" s="13" t="n"/>
      <c r="L13" s="13" t="n"/>
    </row>
    <row r="14" ht="57.75" customHeight="1" s="27">
      <c r="A14" s="8" t="n">
        <v>13</v>
      </c>
      <c r="B14" s="26" t="inlineStr">
        <is>
          <t>Today Footwear</t>
        </is>
      </c>
      <c r="C14" s="8" t="inlineStr">
        <is>
          <t>Measurement</t>
        </is>
      </c>
      <c r="D14" s="11" t="inlineStr">
        <is>
          <t>Production Waste Auditor</t>
        </is>
      </c>
      <c r="E14" s="11" t="inlineStr">
        <is>
          <t>Weighs and categorises scrap at each process stage daily for two weeks.</t>
        </is>
      </c>
      <c r="F14" s="11" t="inlineStr">
        <is>
          <t>Physical stamina, careful measurement, safety compliance</t>
        </is>
      </c>
      <c r="G14" s="8" t="inlineStr">
        <is>
          <t>Vishal</t>
        </is>
      </c>
      <c r="H14" s="12" t="n">
        <v>46377</v>
      </c>
      <c r="I14" s="12" t="n">
        <v>46387</v>
      </c>
      <c r="J14" s="8" t="inlineStr">
        <is>
          <t>On-site</t>
        </is>
      </c>
      <c r="K14" s="11" t="inlineStr">
        <is>
          <t>NCR / Bahadurgarh belt — TBC</t>
        </is>
      </c>
      <c r="L14" s="13" t="n"/>
      <c r="M14" s="13" t="inlineStr">
        <is>
          <t>Seat not yet confirmed</t>
        </is>
      </c>
    </row>
    <row r="15" ht="57.75" customHeight="1" s="27">
      <c r="A15" s="14" t="n">
        <v>14</v>
      </c>
      <c r="B15" s="15" t="inlineStr">
        <is>
          <t>Today Footwear</t>
        </is>
      </c>
      <c r="C15" s="14" t="inlineStr">
        <is>
          <t>Costing</t>
        </is>
      </c>
      <c r="D15" s="16" t="inlineStr">
        <is>
          <t>Material Recovery Analyst</t>
        </is>
      </c>
      <c r="E15" s="16" t="inlineStr">
        <is>
          <t>Prices the scrap categories with local buyers, builds the recovery model, writes the segregation SOP.</t>
        </is>
      </c>
      <c r="F15" s="16" t="inlineStr">
        <is>
          <t>Sheets, cost analysis, vendor calling</t>
        </is>
      </c>
      <c r="G15" s="14" t="inlineStr">
        <is>
          <t>Vishal</t>
        </is>
      </c>
      <c r="H15" s="17" t="n">
        <v>46377</v>
      </c>
      <c r="I15" s="17" t="n">
        <v>46387</v>
      </c>
      <c r="J15" s="14" t="inlineStr">
        <is>
          <t>On-site</t>
        </is>
      </c>
      <c r="K15" s="16" t="inlineStr">
        <is>
          <t>NCR / Bahadurgarh belt — TBC</t>
        </is>
      </c>
      <c r="L15" s="13" t="n"/>
      <c r="M15" s="13" t="inlineStr">
        <is>
          <t>Seat not yet confirmed</t>
        </is>
      </c>
    </row>
    <row r="16" ht="57.75" customHeight="1" s="27">
      <c r="A16" s="8" t="n">
        <v>15</v>
      </c>
      <c r="B16" s="26" t="inlineStr">
        <is>
          <t>Giriraj Coated</t>
        </is>
      </c>
      <c r="C16" s="8" t="inlineStr">
        <is>
          <t>Floor Engagement</t>
        </is>
      </c>
      <c r="D16" s="11" t="inlineStr">
        <is>
          <t>Worker Engagement Intern</t>
        </is>
      </c>
      <c r="E16" s="11" t="inlineStr">
        <is>
          <t>Runs the 25-30 structured floor interactions across shifts and facilitates the first weekly huddles.</t>
        </is>
      </c>
      <c r="F16" s="11" t="inlineStr">
        <is>
          <t>Hindi fluency, facilitation, patience</t>
        </is>
      </c>
      <c r="G16" s="8" t="inlineStr">
        <is>
          <t>TBC</t>
        </is>
      </c>
      <c r="H16" s="12" t="n">
        <v>46377</v>
      </c>
      <c r="I16" s="12" t="n">
        <v>46387</v>
      </c>
      <c r="J16" s="8" t="inlineStr">
        <is>
          <t>On-site</t>
        </is>
      </c>
      <c r="K16" s="11" t="inlineStr">
        <is>
          <t>NCR — plant TBC</t>
        </is>
      </c>
      <c r="L16" s="13" t="n"/>
      <c r="M16" s="13" t="inlineStr">
        <is>
          <t>Seat not yet confirmed</t>
        </is>
      </c>
    </row>
    <row r="17" ht="57.75" customHeight="1" s="27">
      <c r="A17" s="14" t="n">
        <v>16</v>
      </c>
      <c r="B17" s="15" t="inlineStr">
        <is>
          <t>Giriraj Coated</t>
        </is>
      </c>
      <c r="C17" s="14" t="inlineStr">
        <is>
          <t>Systems</t>
        </is>
      </c>
      <c r="D17" s="16" t="inlineStr">
        <is>
          <t>Org Structure &amp; Systems Intern</t>
        </is>
      </c>
      <c r="E17" s="16" t="inlineStr">
        <is>
          <t>Maps the reporting structure, designs the suggestion mechanism and SLA, logs and categorises suggestions.</t>
        </is>
      </c>
      <c r="F17" s="16" t="inlineStr">
        <is>
          <t>Process design, documentation, Sheets</t>
        </is>
      </c>
      <c r="G17" s="14" t="inlineStr">
        <is>
          <t>TBC</t>
        </is>
      </c>
      <c r="H17" s="17" t="n">
        <v>46377</v>
      </c>
      <c r="I17" s="17" t="n">
        <v>46387</v>
      </c>
      <c r="J17" s="14" t="inlineStr">
        <is>
          <t>On-site</t>
        </is>
      </c>
      <c r="K17" s="16" t="inlineStr">
        <is>
          <t>NCR — plant TBC</t>
        </is>
      </c>
      <c r="L17" s="13" t="n"/>
      <c r="M17" s="13" t="inlineStr">
        <is>
          <t>Seat not yet confirmed</t>
        </is>
      </c>
    </row>
    <row r="18" ht="57.75" customHeight="1" s="27">
      <c r="A18" s="8" t="n">
        <v>17</v>
      </c>
      <c r="B18" s="26" t="inlineStr">
        <is>
          <t>SSF</t>
        </is>
      </c>
      <c r="C18" s="8" t="inlineStr">
        <is>
          <t>Stock Count</t>
        </is>
      </c>
      <c r="D18" s="11" t="inlineStr">
        <is>
          <t>Inventory Audit Intern</t>
        </is>
      </c>
      <c r="E18" s="11" t="inlineStr">
        <is>
          <t>Runs the physical count against system records and flags every mismatch.</t>
        </is>
      </c>
      <c r="F18" s="11" t="inlineStr">
        <is>
          <t>Accuracy, stamina, spreadsheet entry</t>
        </is>
      </c>
      <c r="G18" s="8" t="inlineStr">
        <is>
          <t>TBC</t>
        </is>
      </c>
      <c r="H18" s="12" t="n">
        <v>46377</v>
      </c>
      <c r="I18" s="12" t="n">
        <v>46387</v>
      </c>
      <c r="J18" s="8" t="inlineStr">
        <is>
          <t>On-site</t>
        </is>
      </c>
      <c r="K18" s="11" t="inlineStr">
        <is>
          <t>TBC</t>
        </is>
      </c>
      <c r="L18" s="13" t="n"/>
      <c r="M18" s="13" t="inlineStr">
        <is>
          <t>Seat not yet confirmed</t>
        </is>
      </c>
    </row>
    <row r="19" ht="57.75" customHeight="1" s="27">
      <c r="A19" s="14" t="n">
        <v>18</v>
      </c>
      <c r="B19" s="15" t="inlineStr">
        <is>
          <t>SSF</t>
        </is>
      </c>
      <c r="C19" s="14" t="inlineStr">
        <is>
          <t>Analysis</t>
        </is>
      </c>
      <c r="D19" s="16" t="inlineStr">
        <is>
          <t>Inventory Analyst</t>
        </is>
      </c>
      <c r="E19" s="16" t="inlineStr">
        <is>
          <t>Builds the 12-month movement classification, quantifies locked capital, sets reorder levels.</t>
        </is>
      </c>
      <c r="F19" s="16" t="inlineStr">
        <is>
          <t>Sheets, ABC analysis, basic working-capital logic</t>
        </is>
      </c>
      <c r="G19" s="14" t="inlineStr">
        <is>
          <t>TBC</t>
        </is>
      </c>
      <c r="H19" s="17" t="n">
        <v>46377</v>
      </c>
      <c r="I19" s="17" t="n">
        <v>46387</v>
      </c>
      <c r="J19" s="14" t="inlineStr">
        <is>
          <t>On-site</t>
        </is>
      </c>
      <c r="K19" s="16" t="inlineStr">
        <is>
          <t>TBC</t>
        </is>
      </c>
      <c r="L19" s="13" t="n"/>
      <c r="M19" s="13" t="inlineStr">
        <is>
          <t>Seat not yet confirmed</t>
        </is>
      </c>
    </row>
    <row r="20" ht="57.75" customHeight="1" s="27">
      <c r="A20" s="8" t="n">
        <v>19</v>
      </c>
      <c r="B20" s="26" t="inlineStr">
        <is>
          <t>Adhi Foam</t>
        </is>
      </c>
      <c r="C20" s="8" t="inlineStr">
        <is>
          <t>Digital Audit</t>
        </is>
      </c>
      <c r="D20" s="11" t="inlineStr">
        <is>
          <t>E-commerce Listing Analyst</t>
        </is>
      </c>
      <c r="E20" s="11" t="inlineStr">
        <is>
          <t>Audits marketplace and search presence versus 5 competitors and drafts improved listings.</t>
        </is>
      </c>
      <c r="F20" s="11" t="inlineStr">
        <is>
          <t>Amazon/Flipkart familiarity, copywriting, Sheets</t>
        </is>
      </c>
      <c r="G20" s="8" t="inlineStr">
        <is>
          <t>TBC</t>
        </is>
      </c>
      <c r="H20" s="12" t="n">
        <v>46363</v>
      </c>
      <c r="I20" s="12" t="n">
        <v>46374</v>
      </c>
      <c r="J20" s="8" t="inlineStr">
        <is>
          <t>Remote + dealer visits</t>
        </is>
      </c>
      <c r="K20" s="11" t="inlineStr">
        <is>
          <t>NCR — TBC</t>
        </is>
      </c>
      <c r="L20" s="13" t="n"/>
      <c r="M20" s="13" t="inlineStr">
        <is>
          <t>Seat not yet confirmed</t>
        </is>
      </c>
    </row>
    <row r="21" ht="57.75" customHeight="1" s="27">
      <c r="A21" s="14" t="n">
        <v>20</v>
      </c>
      <c r="B21" s="15" t="inlineStr">
        <is>
          <t>Adhi Foam</t>
        </is>
      </c>
      <c r="C21" s="14" t="inlineStr">
        <is>
          <t>Channel Research</t>
        </is>
      </c>
      <c r="D21" s="16" t="inlineStr">
        <is>
          <t>Dealer Research Intern</t>
        </is>
      </c>
      <c r="E21" s="16" t="inlineStr">
        <is>
          <t>Runs the 10 dealer interviews and builds the dealer-support kit.</t>
        </is>
      </c>
      <c r="F21" s="16" t="inlineStr">
        <is>
          <t>Hindi, phone/field confidence, Slides</t>
        </is>
      </c>
      <c r="G21" s="14" t="inlineStr">
        <is>
          <t>TBC</t>
        </is>
      </c>
      <c r="H21" s="17" t="n">
        <v>46363</v>
      </c>
      <c r="I21" s="17" t="n">
        <v>46374</v>
      </c>
      <c r="J21" s="14" t="inlineStr">
        <is>
          <t>Remote + dealer visits</t>
        </is>
      </c>
      <c r="K21" s="16" t="inlineStr">
        <is>
          <t>NCR — TBC</t>
        </is>
      </c>
      <c r="L21" s="13" t="n"/>
      <c r="M21" s="13" t="inlineStr">
        <is>
          <t>Seat not yet confirmed</t>
        </is>
      </c>
    </row>
    <row r="22" ht="57.75" customHeight="1" s="27">
      <c r="A22" s="8" t="n">
        <v>21</v>
      </c>
      <c r="B22" s="26" t="inlineStr">
        <is>
          <t>Kanodia</t>
        </is>
      </c>
      <c r="C22" s="8" t="inlineStr">
        <is>
          <t>Field Survey</t>
        </is>
      </c>
      <c r="D22" s="11" t="inlineStr">
        <is>
          <t>Dealer Survey Intern</t>
        </is>
      </c>
      <c r="E22" s="11" t="inlineStr">
        <is>
          <t>Administers the 20-dealer survey in the field and records responses cleanly.</t>
        </is>
      </c>
      <c r="F22" s="11" t="inlineStr">
        <is>
          <t>Hindi, field comfort, survey discipline</t>
        </is>
      </c>
      <c r="G22" s="8" t="inlineStr">
        <is>
          <t>TBC</t>
        </is>
      </c>
      <c r="H22" s="12" t="n">
        <v>46363</v>
      </c>
      <c r="I22" s="12" t="n">
        <v>46374</v>
      </c>
      <c r="J22" s="8" t="inlineStr">
        <is>
          <t>Hybrid + field</t>
        </is>
      </c>
      <c r="K22" s="11" t="inlineStr">
        <is>
          <t>Greater Noida / NCR — TBC</t>
        </is>
      </c>
      <c r="L22" s="13" t="n"/>
      <c r="M22" s="13" t="inlineStr">
        <is>
          <t>Seat not yet confirmed</t>
        </is>
      </c>
    </row>
    <row r="23" ht="57.75" customHeight="1" s="27">
      <c r="A23" s="14" t="n">
        <v>22</v>
      </c>
      <c r="B23" s="15" t="inlineStr">
        <is>
          <t>Kanodia</t>
        </is>
      </c>
      <c r="C23" s="14" t="inlineStr">
        <is>
          <t>Analysis</t>
        </is>
      </c>
      <c r="D23" s="16" t="inlineStr">
        <is>
          <t>Competitive Strategy Intern</t>
        </is>
      </c>
      <c r="E23" s="16" t="inlineStr">
        <is>
          <t>Builds the 5-brand matrix, analyses survey results, writes the 2 prioritised recommendations.</t>
        </is>
      </c>
      <c r="F23" s="16" t="inlineStr">
        <is>
          <t>Sheets, desk research, recommendation writing</t>
        </is>
      </c>
      <c r="G23" s="14" t="inlineStr">
        <is>
          <t>TBC</t>
        </is>
      </c>
      <c r="H23" s="17" t="n">
        <v>46363</v>
      </c>
      <c r="I23" s="17" t="n">
        <v>46374</v>
      </c>
      <c r="J23" s="14" t="inlineStr">
        <is>
          <t>Hybrid + field</t>
        </is>
      </c>
      <c r="K23" s="16" t="inlineStr">
        <is>
          <t>Greater Noida / NCR — TBC</t>
        </is>
      </c>
      <c r="L23" s="13" t="n"/>
      <c r="M23" s="13" t="inlineStr">
        <is>
          <t>Seat not yet confirmed</t>
        </is>
      </c>
    </row>
    <row r="24" ht="15.75" customHeight="1" s="27"/>
    <row r="25" ht="15.75" customHeight="1" s="27"/>
    <row r="26" ht="15.75" customHeight="1" s="27"/>
    <row r="27" ht="15.75" customHeight="1" s="27"/>
    <row r="28" ht="15.75" customHeight="1" s="27"/>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autoFilter ref="$A$1:$M$23"/>
  <dataValidations count="1">
    <dataValidation sqref="L12:L13 M2:M11 M14:M23" showDropDown="0" showInputMessage="0" showErrorMessage="0" allowBlank="1" type="list">
      <formula1>"Seat not yet confirmed,Confirmed by company,Student matched,Live,Completed,Withdrawn"</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7" min="1" max="1"/>
    <col width="44" customWidth="1" style="27" min="2" max="2"/>
    <col width="62" customWidth="1" style="27" min="3" max="3"/>
    <col width="40" customWidth="1" style="27" min="4" max="4"/>
    <col width="30" customWidth="1" style="27" min="5" max="5"/>
    <col width="28" customWidth="1" style="27" min="6" max="6"/>
    <col width="8.710000000000001" customWidth="1" style="27" min="7" max="26"/>
  </cols>
  <sheetData>
    <row r="1" ht="39.75" customHeight="1" s="27">
      <c r="A1" s="2" t="inlineStr">
        <is>
          <t>Problem Category</t>
        </is>
      </c>
      <c r="B1" s="2" t="inlineStr">
        <is>
          <t>The Symptom You Will Hear From The Owner</t>
        </is>
      </c>
      <c r="C1" s="2" t="inlineStr">
        <is>
          <t>What An Intern Can Realistically Deliver In 10 Days</t>
        </is>
      </c>
      <c r="D1" s="2" t="inlineStr">
        <is>
          <t>What They Cannot Deliver (say this upfront)</t>
        </is>
      </c>
      <c r="E1" s="2" t="inlineStr">
        <is>
          <t>Best Fit</t>
        </is>
      </c>
      <c r="F1" s="2" t="inlineStr">
        <is>
          <t>Used For</t>
        </is>
      </c>
    </row>
    <row r="2" ht="78" customHeight="1" s="27">
      <c r="A2" s="20" t="inlineStr">
        <is>
          <t>Competitor analysis</t>
        </is>
      </c>
      <c r="B2" s="11" t="inlineStr">
        <is>
          <t>'I know my competitors, but I do not know what they are actually quoting.'</t>
        </is>
      </c>
      <c r="C2" s="11" t="inlineStr">
        <is>
          <t>A structured matrix of 5-8 competitors on price, terms, lead time, range and digital presence, backed by 10-20 calls to dealers or customers.</t>
        </is>
      </c>
      <c r="D2" s="11" t="inlineStr">
        <is>
          <t>Confidential internal data on competitors. Everything must come from public sources or willing interviewees.</t>
        </is>
      </c>
      <c r="E2" s="11" t="inlineStr">
        <is>
          <t>B2B manufacturing, trading, building materials</t>
        </is>
      </c>
      <c r="F2" s="11" t="inlineStr">
        <is>
          <t>Balaji Aluminium, Kanodia, OneNDF</t>
        </is>
      </c>
    </row>
    <row r="3" ht="78" customHeight="1" s="27">
      <c r="A3" s="21" t="inlineStr">
        <is>
          <t>How to increase sales</t>
        </is>
      </c>
      <c r="B3" s="16" t="inlineStr">
        <is>
          <t>'Sales have been flat for two years.'</t>
        </is>
      </c>
      <c r="C3" s="16" t="inlineStr">
        <is>
          <t>A diagnosis: sales cut by channel, region and SKU, a retail or dealer audit, and a targeted coverage or listing plan with 90-day targets.</t>
        </is>
      </c>
      <c r="D3" s="16" t="inlineStr">
        <is>
          <t>A guaranteed revenue increase. The deliverable is a diagnosis and plan, not a result.</t>
        </is>
      </c>
      <c r="E3" s="16" t="inlineStr">
        <is>
          <t>Consumer brands, dealer distribution, D2C</t>
        </is>
      </c>
      <c r="F3" s="16" t="inlineStr">
        <is>
          <t>Columbus, Adhi Foam</t>
        </is>
      </c>
    </row>
    <row r="4" ht="78" customHeight="1" s="27">
      <c r="A4" s="20" t="inlineStr">
        <is>
          <t>Labour retention / welfare</t>
        </is>
      </c>
      <c r="B4" s="11" t="inlineStr">
        <is>
          <t>'People leave after three months and I keep retraining.'</t>
        </is>
      </c>
      <c r="C4" s="11" t="inlineStr">
        <is>
          <t>True attrition numbers by department, 20-25 anonymised worker interviews, a costed replacement model and 3-4 low-cost interventions.</t>
        </is>
      </c>
      <c r="D4" s="11" t="inlineStr">
        <is>
          <t>Anything requiring changes to wages or statutory compliance. Interns advise, they do not set pay.</t>
        </is>
      </c>
      <c r="E4" s="11" t="inlineStr">
        <is>
          <t>Manufacturing with a large floor workforce</t>
        </is>
      </c>
      <c r="F4" s="11" t="inlineStr">
        <is>
          <t>True Fit</t>
        </is>
      </c>
    </row>
    <row r="5" ht="78" customHeight="1" s="27">
      <c r="A5" s="21" t="inlineStr">
        <is>
          <t>HR policies for labour</t>
        </is>
      </c>
      <c r="B5" s="16" t="inlineStr">
        <is>
          <t>'We do not really have written policies, it is all verbal.'</t>
        </is>
      </c>
      <c r="C5" s="16" t="inlineStr">
        <is>
          <t>A written draft of 4-5 core policies (leave, grievance, shift change, safety induction) in Hindi and English, benchmarked against sector norms.</t>
        </is>
      </c>
      <c r="D5" s="16" t="inlineStr">
        <is>
          <t>Legal certification. A lawyer must review anything before it is issued.</t>
        </is>
      </c>
      <c r="E5" s="16" t="inlineStr">
        <is>
          <t>Manufacturing, any unit above ~50 workers</t>
        </is>
      </c>
      <c r="F5" s="16" t="inlineStr">
        <is>
          <t>True Fit (secondary)</t>
        </is>
      </c>
    </row>
    <row r="6" ht="78" customHeight="1" s="27">
      <c r="A6" s="20" t="inlineStr">
        <is>
          <t>Logistics — dispatch planning</t>
        </is>
      </c>
      <c r="B6" s="11" t="inlineStr">
        <is>
          <t>'Orders take too long to go out and I do not know why.'</t>
        </is>
      </c>
      <c r="C6" s="11" t="inlineStr">
        <is>
          <t>A timed process map across 30-40 orders, a delay analysis, a revised dispatch schedule and a daily tracker the team can maintain.</t>
        </is>
      </c>
      <c r="D6" s="11" t="inlineStr">
        <is>
          <t>Software implementation or an ERP rollout.</t>
        </is>
      </c>
      <c r="E6" s="11" t="inlineStr">
        <is>
          <t>Manufacturing, warehousing, electronics</t>
        </is>
      </c>
      <c r="F6" s="11" t="inlineStr">
        <is>
          <t>Starlink</t>
        </is>
      </c>
    </row>
    <row r="7" ht="78" customHeight="1" s="27">
      <c r="A7" s="21" t="inlineStr">
        <is>
          <t>Logistics — inventory / warehouse</t>
        </is>
      </c>
      <c r="B7" s="16" t="inlineStr">
        <is>
          <t>'There is a lot of stock but nothing is ever in place.'</t>
        </is>
      </c>
      <c r="C7" s="16" t="inlineStr">
        <is>
          <t>A physical count against system records, fast/slow/dead classification over 12 months, locked-capital estimate and reorder levels for top SKUs.</t>
        </is>
      </c>
      <c r="D7" s="16" t="inlineStr">
        <is>
          <t>Disposing of dead stock. They can only recommend the route.</t>
        </is>
      </c>
      <c r="E7" s="16" t="inlineStr">
        <is>
          <t>Trading, distribution, manufacturing</t>
        </is>
      </c>
      <c r="F7" s="16" t="inlineStr">
        <is>
          <t>SSF</t>
        </is>
      </c>
    </row>
    <row r="8" ht="78" customHeight="1" s="27">
      <c r="A8" s="20" t="inlineStr">
        <is>
          <t>Waste management</t>
        </is>
      </c>
      <c r="B8" s="11" t="inlineStr">
        <is>
          <t>'The scrap just gets sold to whoever comes to the gate.'</t>
        </is>
      </c>
      <c r="C8" s="11" t="inlineStr">
        <is>
          <t>A measured scrap audit by process stage and material, current versus market realisable price, a segregation SOP and a costed recovery proposal.</t>
        </is>
      </c>
      <c r="D8" s="11" t="inlineStr">
        <is>
          <t>Environmental compliance certification or effluent handling.</t>
        </is>
      </c>
      <c r="E8" s="11" t="inlineStr">
        <is>
          <t>Footwear, foam, textiles, coated products</t>
        </is>
      </c>
      <c r="F8" s="11" t="inlineStr">
        <is>
          <t>Today Footwear</t>
        </is>
      </c>
    </row>
    <row r="9" ht="78" customHeight="1" s="27">
      <c r="A9" s="21" t="inlineStr">
        <is>
          <t>Structure report — suggestion box + labour interaction</t>
        </is>
      </c>
      <c r="B9" s="16" t="inlineStr">
        <is>
          <t>'Nobody tells me what is going wrong until it is too late.'</t>
        </is>
      </c>
      <c r="C9" s="16" t="inlineStr">
        <is>
          <t>An information-flow map, 25-30 structured floor interactions, a live suggestion mechanism with a named owner and response SLA, plus the first log.</t>
        </is>
      </c>
      <c r="D9" s="16" t="inlineStr">
        <is>
          <t>Restructuring reporting lines or removing supervisors.</t>
        </is>
      </c>
      <c r="E9" s="16" t="inlineStr">
        <is>
          <t>Process manufacturing, shift-based units</t>
        </is>
      </c>
      <c r="F9" s="16" t="inlineStr">
        <is>
          <t>Giriraj Coated</t>
        </is>
      </c>
    </row>
    <row r="10" ht="78" customHeight="1" s="27">
      <c r="A10" s="20" t="inlineStr">
        <is>
          <t>Social media / digital marketing</t>
        </is>
      </c>
      <c r="B10" s="11" t="inlineStr">
        <is>
          <t>'We post sometimes but nothing comes of it.'</t>
        </is>
      </c>
      <c r="C10" s="11" t="inlineStr">
        <is>
          <t>A full channel audit, a competitor content benchmark, a 30-day calendar with 10-12 drafted posts and an enquiry-tracking sheet.</t>
        </is>
      </c>
      <c r="D10" s="11" t="inlineStr">
        <is>
          <t>Running paid ad spend or accessing company ad accounts.</t>
        </is>
      </c>
      <c r="E10" s="11" t="inlineStr">
        <is>
          <t>Real estate, FMCG, B2B services, fintech</t>
        </is>
      </c>
      <c r="F10" s="11" t="inlineStr">
        <is>
          <t>Paras, OneNDF</t>
        </is>
      </c>
    </row>
    <row r="21" ht="15.75" customHeight="1" s="27"/>
    <row r="22" ht="15.75" customHeight="1" s="27"/>
    <row r="23" ht="15.75" customHeight="1" s="27"/>
    <row r="24" ht="15.75" customHeight="1" s="27"/>
    <row r="25" ht="15.75" customHeight="1" s="27"/>
    <row r="26" ht="15.75" customHeight="1" s="27"/>
    <row r="27" ht="15.75" customHeight="1" s="27"/>
    <row r="28" ht="15.75" customHeight="1" s="27"/>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ColWidth="14.43" defaultRowHeight="15" customHeight="1"/>
  <cols>
    <col width="5" customWidth="1" style="27" min="1" max="1"/>
    <col width="74" customWidth="1" style="27" min="2" max="2"/>
    <col width="52" customWidth="1" style="27" min="3" max="3"/>
    <col width="22" customWidth="1" style="27" min="4" max="4"/>
    <col width="8.710000000000001" customWidth="1" style="27" min="5" max="26"/>
  </cols>
  <sheetData>
    <row r="1">
      <c r="A1" s="24" t="inlineStr">
        <is>
          <t>First Call — Five Questions That Fill This Sheet For You</t>
        </is>
      </c>
    </row>
    <row r="2">
      <c r="A2" s="3" t="inlineStr">
        <is>
          <t>Do not pitch the problem first. Ask, listen, then propose. The column each answer fills is on the right.</t>
        </is>
      </c>
    </row>
    <row r="4">
      <c r="A4" s="2" t="inlineStr">
        <is>
          <t>Q</t>
        </is>
      </c>
      <c r="B4" s="2" t="inlineStr">
        <is>
          <t>Question to ask</t>
        </is>
      </c>
      <c r="C4" s="2" t="n"/>
      <c r="D4" s="2" t="n"/>
    </row>
    <row r="5" ht="39.75" customHeight="1" s="27">
      <c r="A5" s="4" t="inlineStr">
        <is>
          <t>1</t>
        </is>
      </c>
      <c r="B5" s="4" t="inlineStr">
        <is>
          <t>Just so I have it right — what does the company actually make or sell, and who buys it?</t>
        </is>
      </c>
      <c r="C5" s="4" t="n"/>
      <c r="D5" s="4" t="n"/>
    </row>
    <row r="6" ht="39.75" customHeight="1" s="27">
      <c r="A6" s="4" t="inlineStr">
        <is>
          <t>2</t>
        </is>
      </c>
      <c r="B6" s="4" t="inlineStr">
        <is>
          <t>If you had one extra pair of hands for two weeks, what is the thing you have been meaning to look at but never get to?</t>
        </is>
      </c>
      <c r="C6" s="4" t="n"/>
      <c r="D6" s="4" t="n"/>
    </row>
    <row r="7" ht="39.75" customHeight="1" s="27">
      <c r="A7" s="4" t="inlineStr">
        <is>
          <t>3</t>
        </is>
      </c>
      <c r="B7" s="4" t="inlineStr">
        <is>
          <t>How would you know in January whether those two weeks were worth it?</t>
        </is>
      </c>
      <c r="C7" s="4" t="n"/>
      <c r="D7" s="4" t="n"/>
    </row>
    <row r="8" ht="39.75" customHeight="1" s="27">
      <c r="A8" s="4" t="inlineStr">
        <is>
          <t>4</t>
        </is>
      </c>
      <c r="B8" s="4" t="inlineStr">
        <is>
          <t>Would they sit in the office, at the plant, or work remotely — and who would they check in with each day?</t>
        </is>
      </c>
      <c r="C8" s="4" t="n"/>
      <c r="D8" s="4" t="n"/>
    </row>
    <row r="9" ht="39.75" customHeight="1" s="27">
      <c r="A9" s="4" t="inlineStr">
        <is>
          <t>5</t>
        </is>
      </c>
      <c r="B9" s="4" t="inlineStr">
        <is>
          <t>Which two weeks in December suit you? Schools break around the 18th, so 21-31 works for on-site.</t>
        </is>
      </c>
      <c r="C9" s="4" t="n"/>
      <c r="D9" s="4" t="n"/>
    </row>
    <row r="10" ht="39.75" customHeight="1" s="27">
      <c r="A10" s="4" t="n"/>
      <c r="B10" s="4" t="n"/>
      <c r="C10" s="4" t="n"/>
      <c r="D10" s="4" t="n"/>
    </row>
    <row r="11" ht="39.75" customHeight="1" s="27">
      <c r="A11" s="4" t="n"/>
      <c r="B11" s="5" t="inlineStr">
        <is>
          <t>CLOSE WITH THIS</t>
        </is>
      </c>
      <c r="C11" s="4" t="n"/>
      <c r="D11" s="4" t="n"/>
    </row>
    <row r="12" ht="39.75" customHeight="1" s="27">
      <c r="A12" s="4" t="n"/>
      <c r="B12" s="25" t="inlineStr">
        <is>
          <t>'I will send you a one-page scope by tomorrow. If it looks right, I will confirm two students and we are set.'</t>
        </is>
      </c>
      <c r="C12" s="4" t="inlineStr">
        <is>
          <t>Gives you a reason to follow up within 24 hours while the conversation is warm.</t>
        </is>
      </c>
      <c r="D12" s="4" t="n"/>
    </row>
    <row r="13" ht="39.75" customHeight="1" s="27">
      <c r="A13" s="4" t="n"/>
      <c r="B13" s="4" t="n"/>
      <c r="C13" s="4" t="n"/>
      <c r="D13" s="4" t="n"/>
    </row>
    <row r="14" ht="39.75" customHeight="1" s="27">
      <c r="A14" s="4" t="n"/>
      <c r="B14" s="5" t="inlineStr">
        <is>
          <t>THINGS TO SORT BEFORE ANY STUDENT STARTS</t>
        </is>
      </c>
      <c r="C14" s="4" t="n"/>
      <c r="D14" s="4" t="n"/>
    </row>
    <row r="15" ht="39.75" customHeight="1" s="27">
      <c r="A15" s="4" t="n"/>
      <c r="B15" s="7" t="inlineStr">
        <is>
          <t>Written confirmation from the company — even a WhatsApp message naming the dates, the scope and the supervisor.</t>
        </is>
      </c>
      <c r="C15" s="4" t="n"/>
      <c r="D15" s="4" t="n"/>
    </row>
    <row r="16" ht="39.75" customHeight="1" s="27">
      <c r="A16" s="4" t="n"/>
      <c r="B16" s="7" t="inlineStr">
        <is>
          <t>Parental consent for every student, especially for on-site factory placements.</t>
        </is>
      </c>
      <c r="C16" s="4" t="n"/>
      <c r="D16" s="4" t="n"/>
    </row>
    <row r="17" ht="39.75" customHeight="1" s="27">
      <c r="A17" s="4" t="n"/>
      <c r="B17" s="7" t="inlineStr">
        <is>
          <t>Whether under-18 students can legally be on that factory floor, and what the site's safety induction requires. Check this per site — do not assume.</t>
        </is>
      </c>
      <c r="C17" s="4" t="n"/>
      <c r="D17" s="4" t="n"/>
    </row>
    <row r="18" ht="39.75" customHeight="1" s="27">
      <c r="A18" s="4" t="n"/>
      <c r="B18" s="7" t="inlineStr">
        <is>
          <t>A basic confidentiality undertaking, since interns will see sales data, wages and dealer lists.</t>
        </is>
      </c>
      <c r="C18" s="4" t="n"/>
      <c r="D18" s="4" t="n"/>
    </row>
    <row r="19" ht="39.75" customHeight="1" s="27">
      <c r="A19" s="4" t="n"/>
      <c r="B19" s="7" t="inlineStr">
        <is>
          <t>Travel and timings — a Bahadurgarh or Greater Noida plant is not a daily commute for most Gurugram students.</t>
        </is>
      </c>
      <c r="C19" s="4" t="n"/>
      <c r="D19" s="4" t="n"/>
    </row>
    <row r="21" ht="15.75" customHeight="1" s="27"/>
    <row r="22" ht="15.75" customHeight="1" s="27"/>
    <row r="23" ht="15.75" customHeight="1" s="27"/>
    <row r="24" ht="15.75" customHeight="1" s="27"/>
    <row r="25" ht="15.75" customHeight="1" s="27"/>
    <row r="26" ht="15.75" customHeight="1" s="27"/>
    <row r="27" ht="15.75" customHeight="1" s="27"/>
    <row r="28" ht="15.75" customHeight="1" s="27"/>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M23"/>
  <sheetViews>
    <sheetView showGridLines="1" workbookViewId="0">
      <pane ySplit="1" topLeftCell="A2" activePane="bottomLeft" state="frozen"/>
      <selection pane="bottomLeft" activeCell="A1" sqref="A1"/>
    </sheetView>
  </sheetViews>
  <sheetFormatPr baseColWidth="8" defaultRowHeight="15"/>
  <cols>
    <col width="16" customWidth="1" style="27" min="1" max="1"/>
    <col width="30" customWidth="1" style="27" min="2" max="2"/>
    <col width="58" customWidth="1" style="27" min="3" max="3"/>
    <col width="50" customWidth="1" style="27" min="4" max="4"/>
    <col width="34" customWidth="1" style="27" min="5" max="5"/>
    <col width="24" customWidth="1" style="27" min="6" max="6"/>
    <col width="26" customWidth="1" style="27" min="7" max="7"/>
    <col width="40" customWidth="1" style="27" min="8" max="8"/>
    <col width="40" customWidth="1" style="27" min="9" max="9"/>
    <col width="46" customWidth="1" style="27" min="10" max="10"/>
    <col width="46" customWidth="1" style="27" min="11" max="11"/>
    <col width="26" customWidth="1" style="27" min="12" max="12"/>
    <col width="40" customWidth="1" style="27" min="13" max="13"/>
  </cols>
  <sheetData>
    <row r="1" ht="30" customHeight="1" s="27">
      <c r="A1" s="28" t="inlineStr">
        <is>
          <t>Company Name</t>
        </is>
      </c>
      <c r="B1" s="28" t="inlineStr">
        <is>
          <t>Role Title</t>
        </is>
      </c>
      <c r="C1" s="28" t="inlineStr">
        <is>
          <t>Role Description</t>
        </is>
      </c>
      <c r="D1" s="28" t="inlineStr">
        <is>
          <t>Key Responsibilities</t>
        </is>
      </c>
      <c r="E1" s="28" t="inlineStr">
        <is>
          <t>Skills or Qualifications Required</t>
        </is>
      </c>
      <c r="F1" s="28" t="inlineStr">
        <is>
          <t>Location</t>
        </is>
      </c>
      <c r="G1" s="28" t="inlineStr">
        <is>
          <t>Work Type</t>
        </is>
      </c>
      <c r="H1" s="28" t="inlineStr">
        <is>
          <t>Application Method</t>
        </is>
      </c>
      <c r="I1" s="28" t="inlineStr">
        <is>
          <t>Direct Application Link</t>
        </is>
      </c>
      <c r="J1" s="28" t="inlineStr">
        <is>
          <t>Source Link</t>
        </is>
      </c>
      <c r="K1" s="28" t="inlineStr">
        <is>
          <t>Eligibility / Age Requirements</t>
        </is>
      </c>
      <c r="L1" s="28" t="inlineStr">
        <is>
          <t>Project Dates</t>
        </is>
      </c>
      <c r="M1" s="28" t="inlineStr">
        <is>
          <t>Status / Stage</t>
        </is>
      </c>
    </row>
    <row r="2" ht="118" customHeight="1" s="27">
      <c r="A2" s="29" t="inlineStr">
        <is>
          <t>Paras</t>
        </is>
      </c>
      <c r="B2" s="30" t="inlineStr">
        <is>
          <t>Digital Content Researcher</t>
        </is>
      </c>
      <c r="C2" s="30" t="inlineStr">
        <is>
          <t>Supports Paras's social-media marketing audit by cataloguing every channel the company owns and drafting content it can post immediately. The intern pulls each post, page and listing across Instagram, LinkedIn, Google Business and the website, logs ~90 days of activity into a tracker, and writes 12 ready-to-post drafts. The work uses hands-on social-platform knowledge plus Canva and Google Sheets.</t>
        </is>
      </c>
      <c r="D2" s="30" t="inlineStr">
        <is>
          <t>• Inventory all owned channels (Instagram, LinkedIn, Google Business, website)
• Log 90 days of posting activity into a tracker
• Draft 12 ready-to-post pieces
• Support the 30-day content calendar and enquiry-tracking sheet</t>
        </is>
      </c>
      <c r="E2" s="30" t="inlineStr">
        <is>
          <t>Native Instagram/LinkedIn use; Canva; Google Sheets</t>
        </is>
      </c>
      <c r="F2" s="30" t="inlineStr">
        <is>
          <t>NCR — office TBC</t>
        </is>
      </c>
      <c r="G2" s="30" t="inlineStr">
        <is>
          <t>Internship — Remote + 2 site visits</t>
        </is>
      </c>
      <c r="H2" s="30" t="inlineStr">
        <is>
          <t>EkaNex micro-internship seat — NOT a public job posting and NOT advertised on a company careers page. Apply through the EkaNex programme; EkaNex matches selected students to the seat.</t>
        </is>
      </c>
      <c r="I2" s="30" t="inlineStr">
        <is>
          <t>Not found (no public application link). Apply via EkaNex — email arnav.singhal@ekanex.work</t>
        </is>
      </c>
      <c r="J2" s="30" t="inlineStr">
        <is>
          <t>https://docs.google.com/spreadsheets/d/1XF_OMH5-XMHomCOh0i0jh_lxthostvaHXpxffxtn4i0/edit  (tabs: 'Intern Seats' + 'Company Tracker')</t>
        </is>
      </c>
      <c r="K2" s="30" t="inlineStr">
        <is>
          <t>EkaNex programme: Grade 11–12 student in Delhi NCR (no prior experience required). Written parental consent required before starting. Confidentiality undertaking required (interns see sales data, wages and dealer lists).</t>
        </is>
      </c>
      <c r="L2" s="30" t="inlineStr">
        <is>
          <t>7–18 Dec 2026 (10 working days, remote-led)</t>
        </is>
      </c>
      <c r="M2" s="30" t="inlineStr">
        <is>
          <t>Proposed — 'Not yet approached' (per source Read Me; nothing confirmed)  ⚠ identity UNCONFIRMED (Paras Buildtech real estate vs Paras Dairy — confirm with Ashu; see Company Verification tab)</t>
        </is>
      </c>
    </row>
    <row r="3" ht="118" customHeight="1" s="27">
      <c r="A3" s="29" t="inlineStr">
        <is>
          <t>Paras</t>
        </is>
      </c>
      <c r="B3" s="30" t="inlineStr">
        <is>
          <t>Competitor Benchmark Analyst</t>
        </is>
      </c>
      <c r="C3" s="30" t="inlineStr">
        <is>
          <t>Turns the Paras channel audit into evidence by benchmarking the brand against four named competitors and packaging the findings. The intern builds the competitor benchmark, calculates engagement rates and assembles the final audit deck. The work uses Google Sheets pivot tables, Slides and basic analytics reading.</t>
        </is>
      </c>
      <c r="D3" s="30" t="inlineStr">
        <is>
          <t>• Build a 4-competitor benchmark table
• Calculate engagement rates
• Assemble the final channel-audit deck</t>
        </is>
      </c>
      <c r="E3" s="30" t="inlineStr">
        <is>
          <t>Google Sheets (pivot tables); Google Slides; basic analytics reading</t>
        </is>
      </c>
      <c r="F3" s="30" t="inlineStr">
        <is>
          <t>NCR — office TBC</t>
        </is>
      </c>
      <c r="G3" s="30" t="inlineStr">
        <is>
          <t>Internship — Remote + 2 site visits</t>
        </is>
      </c>
      <c r="H3" s="30" t="inlineStr">
        <is>
          <t>EkaNex micro-internship seat — NOT a public job posting and NOT advertised on a company careers page. Apply through the EkaNex programme; EkaNex matches selected students to the seat.</t>
        </is>
      </c>
      <c r="I3" s="30" t="inlineStr">
        <is>
          <t>Not found (no public application link). Apply via EkaNex — email arnav.singhal@ekanex.work</t>
        </is>
      </c>
      <c r="J3" s="30" t="inlineStr">
        <is>
          <t>https://docs.google.com/spreadsheets/d/1XF_OMH5-XMHomCOh0i0jh_lxthostvaHXpxffxtn4i0/edit  (tabs: 'Intern Seats' + 'Company Tracker')</t>
        </is>
      </c>
      <c r="K3" s="30" t="inlineStr">
        <is>
          <t>EkaNex programme: Grade 11–12 student in Delhi NCR (no prior experience required). Written parental consent required before starting. Confidentiality undertaking required (interns see sales data, wages and dealer lists).</t>
        </is>
      </c>
      <c r="L3" s="30" t="inlineStr">
        <is>
          <t>7–18 Dec 2026 (10 working days, remote-led)</t>
        </is>
      </c>
      <c r="M3" s="30" t="inlineStr">
        <is>
          <t>Proposed — 'Not yet approached' (per source Read Me; nothing confirmed)  ⚠ identity UNCONFIRMED (Paras Buildtech real estate vs Paras Dairy — confirm with Ashu; see Company Verification tab)</t>
        </is>
      </c>
    </row>
    <row r="4" ht="118" customHeight="1" s="27">
      <c r="A4" s="29" t="inlineStr">
        <is>
          <t>Balaji Aluminium</t>
        </is>
      </c>
      <c r="B4" s="30" t="inlineStr">
        <is>
          <t>Market Research Associate</t>
        </is>
      </c>
      <c r="C4" s="30" t="inlineStr">
        <is>
          <t>Gathers the primary market intelligence behind Balaji Aluminium's competitor-analysis project (aluminium extrusion/trading). The intern runs 10 short calls with fabricators and dealers about what drives their buying decisions, writes up interview notes, and collects live rate quotes from the NCR aluminium market. The work needs phone confidence and Hindi + English.</t>
        </is>
      </c>
      <c r="D4" s="30" t="inlineStr">
        <is>
          <t>• Run 10 dealer/fabricator interview calls
• Write structured interview notes
• Collect live competitor rate quotes and lead-time data</t>
        </is>
      </c>
      <c r="E4" s="30" t="inlineStr">
        <is>
          <t>Phone confidence; Hindi + English; structured note-taking</t>
        </is>
      </c>
      <c r="F4" s="30" t="inlineStr">
        <is>
          <t>NCR — plant/office TBC</t>
        </is>
      </c>
      <c r="G4" s="30" t="inlineStr">
        <is>
          <t>Internship — Hybrid</t>
        </is>
      </c>
      <c r="H4" s="30" t="inlineStr">
        <is>
          <t>EkaNex micro-internship seat — NOT a public job posting and NOT advertised on a company careers page. Apply through the EkaNex programme; EkaNex matches selected students to the seat.</t>
        </is>
      </c>
      <c r="I4" s="30" t="inlineStr">
        <is>
          <t>Not found (no public application link). Apply via EkaNex — email arnav.singhal@ekanex.work</t>
        </is>
      </c>
      <c r="J4" s="30" t="inlineStr">
        <is>
          <t>https://docs.google.com/spreadsheets/d/1XF_OMH5-XMHomCOh0i0jh_lxthostvaHXpxffxtn4i0/edit  (tabs: 'Intern Seats' + 'Company Tracker')</t>
        </is>
      </c>
      <c r="K4" s="30" t="inlineStr">
        <is>
          <t>EkaNex programme: Grade 11–12 student in Delhi NCR (no prior experience required). Written parental consent required before starting. Confidentiality undertaking required (interns see sales data, wages and dealer lists).</t>
        </is>
      </c>
      <c r="L4" s="30" t="inlineStr">
        <is>
          <t>7–18 Dec 2026 (10 working days)</t>
        </is>
      </c>
      <c r="M4" s="30" t="inlineStr">
        <is>
          <t>Proposed — 'Not yet approached' (per source Read Me; nothing confirmed)  ✓ identity VERIFIED: Balaji Aluminium Extrusions Pvt. Ltd., Bahadurgarh (phone in sheet matches) — balajialuminium.com</t>
        </is>
      </c>
    </row>
    <row r="5" ht="118" customHeight="1" s="27">
      <c r="A5" s="29" t="inlineStr">
        <is>
          <t>Balaji Aluminium</t>
        </is>
      </c>
      <c r="B5" s="30" t="inlineStr">
        <is>
          <t>Competitor Intelligence Analyst</t>
        </is>
      </c>
      <c r="C5" s="30" t="inlineStr">
        <is>
          <t>Builds the analytical core of Balaji Aluminium's competitor study. The intern assembles an 8×10 competitor matrix from public data and the call notes, scores Balaji against each rival on price, terms, lead time and scale, and writes a short positioning summary. The work uses Sheets and desk research, including reading GST/MCA listings.</t>
        </is>
      </c>
      <c r="D5" s="30" t="inlineStr">
        <is>
          <t>• Compile an 8-firm × 10-parameter competitor matrix from public sources + call notes
• Score Balaji vs each competitor
• Write a 5-slide positioning summary</t>
        </is>
      </c>
      <c r="E5" s="30" t="inlineStr">
        <is>
          <t>Google Sheets; desk research; reading a GST/MCA company listing</t>
        </is>
      </c>
      <c r="F5" s="30" t="inlineStr">
        <is>
          <t>NCR — plant/office TBC</t>
        </is>
      </c>
      <c r="G5" s="30" t="inlineStr">
        <is>
          <t>Internship — Hybrid</t>
        </is>
      </c>
      <c r="H5" s="30" t="inlineStr">
        <is>
          <t>EkaNex micro-internship seat — NOT a public job posting and NOT advertised on a company careers page. Apply through the EkaNex programme; EkaNex matches selected students to the seat.</t>
        </is>
      </c>
      <c r="I5" s="30" t="inlineStr">
        <is>
          <t>Not found (no public application link). Apply via EkaNex — email arnav.singhal@ekanex.work</t>
        </is>
      </c>
      <c r="J5" s="30" t="inlineStr">
        <is>
          <t>https://docs.google.com/spreadsheets/d/1XF_OMH5-XMHomCOh0i0jh_lxthostvaHXpxffxtn4i0/edit  (tabs: 'Intern Seats' + 'Company Tracker')</t>
        </is>
      </c>
      <c r="K5" s="30" t="inlineStr">
        <is>
          <t>EkaNex programme: Grade 11–12 student in Delhi NCR (no prior experience required). Written parental consent required before starting. Confidentiality undertaking required (interns see sales data, wages and dealer lists).</t>
        </is>
      </c>
      <c r="L5" s="30" t="inlineStr">
        <is>
          <t>7–18 Dec 2026 (10 working days)</t>
        </is>
      </c>
      <c r="M5" s="30" t="inlineStr">
        <is>
          <t>Proposed — 'Not yet approached' (per source Read Me; nothing confirmed)  ✓ identity VERIFIED: Balaji Aluminium Extrusions Pvt. Ltd., Bahadurgarh (phone in sheet matches) — balajialuminium.com</t>
        </is>
      </c>
    </row>
    <row r="6" ht="118" customHeight="1" s="27">
      <c r="A6" s="29" t="inlineStr">
        <is>
          <t>True Fit</t>
        </is>
      </c>
      <c r="B6" s="30" t="inlineStr">
        <is>
          <t>HR Field Researcher</t>
        </is>
      </c>
      <c r="C6" s="30" t="inlineStr">
        <is>
          <t>Collects the frontline evidence for True Fit's labour-retention project on the garment floor. The intern conducts 20–25 worker interviews across shifts, in Hindi, about why people leave, and logs responses without naming individuals. The work requires Hindi fluency, interview discipline and strict confidentiality.</t>
        </is>
      </c>
      <c r="D6" s="30" t="inlineStr">
        <is>
          <t>• Interview 20–25 floor workers across shifts (in Hindi) on reasons for leaving
• Record anonymised responses
• Maintain interview confidentiality</t>
        </is>
      </c>
      <c r="E6" s="30" t="inlineStr">
        <is>
          <t>Hindi fluency; interview discipline; confidentiality</t>
        </is>
      </c>
      <c r="F6" s="30" t="inlineStr">
        <is>
          <t>NCR — factory TBC</t>
        </is>
      </c>
      <c r="G6" s="30" t="inlineStr">
        <is>
          <t>Internship — On-site</t>
        </is>
      </c>
      <c r="H6" s="30" t="inlineStr">
        <is>
          <t>EkaNex micro-internship seat — NOT a public job posting and NOT advertised on a company careers page. Apply through the EkaNex programme; EkaNex matches selected students to the seat.</t>
        </is>
      </c>
      <c r="I6" s="30" t="inlineStr">
        <is>
          <t>Not found (no public application link). Apply via EkaNex — email arnav.singhal@ekanex.work</t>
        </is>
      </c>
      <c r="J6" s="30" t="inlineStr">
        <is>
          <t>https://docs.google.com/spreadsheets/d/1XF_OMH5-XMHomCOh0i0jh_lxthostvaHXpxffxtn4i0/edit  (tabs: 'Intern Seats' + 'Company Tracker')</t>
        </is>
      </c>
      <c r="K6" s="30"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6" s="30" t="inlineStr">
        <is>
          <t>21–31 Dec 2026 (8 working days, on-site)</t>
        </is>
      </c>
      <c r="M6" s="30" t="inlineStr">
        <is>
          <t>Proposed — 'Not yet approached' (per source Read Me; nothing confirmed)  ⚠ identity UNCONFIRMED (no specific NCR garment maker named 'True Fit' found — confirm legal name with Puneet)</t>
        </is>
      </c>
    </row>
    <row r="7" ht="118" customHeight="1" s="27">
      <c r="A7" s="29" t="inlineStr">
        <is>
          <t>True Fit</t>
        </is>
      </c>
      <c r="B7" s="30" t="inlineStr">
        <is>
          <t>People Analytics &amp; Policy Intern</t>
        </is>
      </c>
      <c r="C7" s="30" t="inlineStr">
        <is>
          <t>Converts True Fit's HR records and floor interviews into a costed retention case. The intern builds an attrition dashboard by department, costs one worker replacement end to end, and drafts four low-cost retention interventions with an owner and timeline for each. The work uses Sheets, basic cost modelling and policy writing.</t>
        </is>
      </c>
      <c r="D7" s="30" t="inlineStr">
        <is>
          <t>• Build a departmental attrition dashboard from HR records
• Model the full end-to-end cost of one replacement
• Draft 4 costed retention interventions with owners/timelines</t>
        </is>
      </c>
      <c r="E7" s="30" t="inlineStr">
        <is>
          <t>Google Sheets; basic cost modelling; policy writing</t>
        </is>
      </c>
      <c r="F7" s="30" t="inlineStr">
        <is>
          <t>NCR — factory TBC</t>
        </is>
      </c>
      <c r="G7" s="30" t="inlineStr">
        <is>
          <t>Internship — On-site</t>
        </is>
      </c>
      <c r="H7" s="30" t="inlineStr">
        <is>
          <t>EkaNex micro-internship seat — NOT a public job posting and NOT advertised on a company careers page. Apply through the EkaNex programme; EkaNex matches selected students to the seat.</t>
        </is>
      </c>
      <c r="I7" s="30" t="inlineStr">
        <is>
          <t>Not found (no public application link). Apply via EkaNex — email arnav.singhal@ekanex.work</t>
        </is>
      </c>
      <c r="J7" s="30" t="inlineStr">
        <is>
          <t>https://docs.google.com/spreadsheets/d/1XF_OMH5-XMHomCOh0i0jh_lxthostvaHXpxffxtn4i0/edit  (tabs: 'Intern Seats' + 'Company Tracker')</t>
        </is>
      </c>
      <c r="K7" s="30"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7" s="30" t="inlineStr">
        <is>
          <t>21–31 Dec 2026 (8 working days, on-site)</t>
        </is>
      </c>
      <c r="M7" s="30" t="inlineStr">
        <is>
          <t>Proposed — 'Not yet approached' (per source Read Me; nothing confirmed)  ⚠ identity UNCONFIRMED (no specific NCR garment maker named 'True Fit' found — confirm legal name with Puneet)</t>
        </is>
      </c>
    </row>
    <row r="8" ht="118" customHeight="1" s="27">
      <c r="A8" s="29" t="inlineStr">
        <is>
          <t>Columbus</t>
        </is>
      </c>
      <c r="B8" s="30" t="inlineStr">
        <is>
          <t>Retail Audit Intern</t>
        </is>
      </c>
      <c r="C8" s="30" t="inlineStr">
        <is>
          <t>Provides the on-the-ground retail view for Columbus's sales-growth project (consumer products/distribution). The intern visits 15 retail points, photographs shelf presence, and records pricing and competitor facings on a standard form. The work needs field comfort, mobile-form skills and punctuality.</t>
        </is>
      </c>
      <c r="D8" s="30" t="inlineStr">
        <is>
          <t>• Visit 15 retail outlets
• Photograph shelf presence
• Record pricing and competitor facings on a standard mobile form</t>
        </is>
      </c>
      <c r="E8" s="30" t="inlineStr">
        <is>
          <t>Field comfort; mobile forms; punctuality</t>
        </is>
      </c>
      <c r="F8" s="30" t="inlineStr">
        <is>
          <t>NCR — office + market TBC</t>
        </is>
      </c>
      <c r="G8" s="30" t="inlineStr">
        <is>
          <t>Internship — Hybrid + field</t>
        </is>
      </c>
      <c r="H8" s="30" t="inlineStr">
        <is>
          <t>EkaNex micro-internship seat — NOT a public job posting and NOT advertised on a company careers page. Apply through the EkaNex programme; EkaNex matches selected students to the seat.</t>
        </is>
      </c>
      <c r="I8" s="30" t="inlineStr">
        <is>
          <t>Not found (no public application link). Apply via EkaNex — email arnav.singhal@ekanex.work</t>
        </is>
      </c>
      <c r="J8" s="30" t="inlineStr">
        <is>
          <t>https://docs.google.com/spreadsheets/d/1XF_OMH5-XMHomCOh0i0jh_lxthostvaHXpxffxtn4i0/edit  (tabs: 'Intern Seats' + 'Company Tracker')</t>
        </is>
      </c>
      <c r="K8" s="30" t="inlineStr">
        <is>
          <t>EkaNex programme: Grade 11–12 student in Delhi NCR (no prior experience required). Written parental consent required before starting. Confidentiality undertaking required (interns see sales data, wages and dealer lists).</t>
        </is>
      </c>
      <c r="L8" s="30" t="inlineStr">
        <is>
          <t>21–31 Dec 2026 (8 working days)</t>
        </is>
      </c>
      <c r="M8" s="30" t="inlineStr">
        <is>
          <t>Proposed — 'Not yet approached' (per source Read Me; nothing confirmed)  ⚠ identity UNCONFIRMED (multiple unrelated 'Columbus' firms in Delhi — confirm category with Kapil)</t>
        </is>
      </c>
    </row>
    <row r="9" ht="118" customHeight="1" s="27">
      <c r="A9" s="29" t="inlineStr">
        <is>
          <t>Columbus</t>
        </is>
      </c>
      <c r="B9" s="30" t="inlineStr">
        <is>
          <t>Sales Data Analyst</t>
        </is>
      </c>
      <c r="C9" s="30" t="inlineStr">
        <is>
          <t>Diagnoses where Columbus's sales are leaking. The intern cuts 12 months of sales by channel, region and SKU, identifies the top-performing and dormant outlets, and builds a targeted coverage-expansion plan with 90-day targets. The work uses Sheets (pivots, VLOOKUP) and charting.</t>
        </is>
      </c>
      <c r="D9" s="30" t="inlineStr">
        <is>
          <t>• Break down 12 months of sales by channel/region/SKU
• Identify the top 20% and dormant outlets
• Build a coverage-expansion plan with 90-day targets</t>
        </is>
      </c>
      <c r="E9" s="30" t="inlineStr">
        <is>
          <t>Google Sheets (pivot tables, VLOOKUP); charting</t>
        </is>
      </c>
      <c r="F9" s="30" t="inlineStr">
        <is>
          <t>NCR — office + market TBC</t>
        </is>
      </c>
      <c r="G9" s="30" t="inlineStr">
        <is>
          <t>Internship — Hybrid + field</t>
        </is>
      </c>
      <c r="H9" s="30" t="inlineStr">
        <is>
          <t>EkaNex micro-internship seat — NOT a public job posting and NOT advertised on a company careers page. Apply through the EkaNex programme; EkaNex matches selected students to the seat.</t>
        </is>
      </c>
      <c r="I9" s="30" t="inlineStr">
        <is>
          <t>Not found (no public application link). Apply via EkaNex — email arnav.singhal@ekanex.work</t>
        </is>
      </c>
      <c r="J9" s="30" t="inlineStr">
        <is>
          <t>https://docs.google.com/spreadsheets/d/1XF_OMH5-XMHomCOh0i0jh_lxthostvaHXpxffxtn4i0/edit  (tabs: 'Intern Seats' + 'Company Tracker')</t>
        </is>
      </c>
      <c r="K9" s="30" t="inlineStr">
        <is>
          <t>EkaNex programme: Grade 11–12 student in Delhi NCR (no prior experience required). Written parental consent required before starting. Confidentiality undertaking required (interns see sales data, wages and dealer lists).</t>
        </is>
      </c>
      <c r="L9" s="30" t="inlineStr">
        <is>
          <t>21–31 Dec 2026 (8 working days)</t>
        </is>
      </c>
      <c r="M9" s="30" t="inlineStr">
        <is>
          <t>Proposed — 'Not yet approached' (per source Read Me; nothing confirmed)  ⚠ identity UNCONFIRMED (multiple unrelated 'Columbus' firms in Delhi — confirm category with Kapil)</t>
        </is>
      </c>
    </row>
    <row r="10" ht="118" customHeight="1" s="27">
      <c r="A10" s="29" t="inlineStr">
        <is>
          <t>OneNDF</t>
        </is>
      </c>
      <c r="B10" s="30" t="inlineStr">
        <is>
          <t>B2B Content Intern</t>
        </is>
      </c>
      <c r="C10" s="30" t="inlineStr">
        <is>
          <t>Drives the content half of OneNDF's fintech positioning project (a digital debt marketplace/lending platform). The intern maps competitor content themes across comparable lenders and drafts 10 LinkedIn posts in the company's voice to build inbound credibility with CFOs. The work needs LinkedIn literacy and clear business writing.</t>
        </is>
      </c>
      <c r="D10" s="30" t="inlineStr">
        <is>
          <t>• Map competitor LinkedIn/website content themes
• Draft 10 LinkedIn posts in OneNDF's voice
• Support the 6-week content plan</t>
        </is>
      </c>
      <c r="E10" s="30" t="inlineStr">
        <is>
          <t>LinkedIn literacy; clear business writing</t>
        </is>
      </c>
      <c r="F10" s="30" t="inlineStr">
        <is>
          <t>Remote — Delhi office optional</t>
        </is>
      </c>
      <c r="G10" s="30" t="inlineStr">
        <is>
          <t>Internship — Remote</t>
        </is>
      </c>
      <c r="H10" s="30" t="inlineStr">
        <is>
          <t>EkaNex micro-internship seat — NOT a public job posting and NOT advertised on a company careers page. Apply through the EkaNex programme; EkaNex matches selected students to the seat.</t>
        </is>
      </c>
      <c r="I10" s="30" t="inlineStr">
        <is>
          <t>Not found (no public application link). Apply via EkaNex — email arnav.singhal@ekanex.work</t>
        </is>
      </c>
      <c r="J10" s="30" t="inlineStr">
        <is>
          <t>https://docs.google.com/spreadsheets/d/1XF_OMH5-XMHomCOh0i0jh_lxthostvaHXpxffxtn4i0/edit  (tabs: 'Intern Seats' + 'Company Tracker')</t>
        </is>
      </c>
      <c r="K10" s="30" t="inlineStr">
        <is>
          <t>EkaNex programme: Grade 11–12 student in Delhi NCR (no prior experience required). Written parental consent required before starting. Confidentiality undertaking required (interns see sales data, wages and dealer lists).</t>
        </is>
      </c>
      <c r="L10" s="30" t="inlineStr">
        <is>
          <t>7–18 Dec 2026 (10 working days, remote)</t>
        </is>
      </c>
      <c r="M10" s="30" t="inlineStr">
        <is>
          <t>Proposed — 'Not yet approached' (per source Read Me; nothing confirmed)  ✓ identity VERIFIED: OneNDF (onendf.com), New Delhi debt/loan marketplace; founder Nitin Khandelwal aligns with 'Khandu'</t>
        </is>
      </c>
    </row>
    <row r="11" ht="118" customHeight="1" s="27">
      <c r="A11" s="29" t="inlineStr">
        <is>
          <t>OneNDF</t>
        </is>
      </c>
      <c r="B11" s="30" t="inlineStr">
        <is>
          <t>Fintech Market Analyst</t>
        </is>
      </c>
      <c r="C11" s="30" t="inlineStr">
        <is>
          <t>Builds the analytical positioning case for OneNDF. The intern benchmarks six comparable fintech lenders on posting frequency, format, themes and target segments, maps their messaging, and writes a positioning gap analysis. The work uses desk research, finance vocabulary and Slides.</t>
        </is>
      </c>
      <c r="D11" s="30" t="inlineStr">
        <is>
          <t>• Benchmark 6 comparable lenders on content + segments
• Map messaging and target segments
• Write a positioning gap analysis</t>
        </is>
      </c>
      <c r="E11" s="30" t="inlineStr">
        <is>
          <t>Desk research; finance vocabulary; Google Slides</t>
        </is>
      </c>
      <c r="F11" s="30" t="inlineStr">
        <is>
          <t>Remote — Delhi office optional</t>
        </is>
      </c>
      <c r="G11" s="30" t="inlineStr">
        <is>
          <t>Internship — Remote</t>
        </is>
      </c>
      <c r="H11" s="30" t="inlineStr">
        <is>
          <t>EkaNex micro-internship seat — NOT a public job posting and NOT advertised on a company careers page. Apply through the EkaNex programme; EkaNex matches selected students to the seat.</t>
        </is>
      </c>
      <c r="I11" s="30" t="inlineStr">
        <is>
          <t>Not found (no public application link). Apply via EkaNex — email arnav.singhal@ekanex.work</t>
        </is>
      </c>
      <c r="J11" s="30" t="inlineStr">
        <is>
          <t>https://docs.google.com/spreadsheets/d/1XF_OMH5-XMHomCOh0i0jh_lxthostvaHXpxffxtn4i0/edit  (tabs: 'Intern Seats' + 'Company Tracker')</t>
        </is>
      </c>
      <c r="K11" s="30" t="inlineStr">
        <is>
          <t>EkaNex programme: Grade 11–12 student in Delhi NCR (no prior experience required). Written parental consent required before starting. Confidentiality undertaking required (interns see sales data, wages and dealer lists).</t>
        </is>
      </c>
      <c r="L11" s="30" t="inlineStr">
        <is>
          <t>7–18 Dec 2026 (10 working days, remote)</t>
        </is>
      </c>
      <c r="M11" s="30" t="inlineStr">
        <is>
          <t>Proposed — 'Not yet approached' (per source Read Me; nothing confirmed)  ✓ identity VERIFIED: OneNDF (onendf.com), New Delhi debt/loan marketplace; founder Nitin Khandelwal aligns with 'Khandu'</t>
        </is>
      </c>
    </row>
    <row r="12" ht="118" customHeight="1" s="27">
      <c r="A12" s="29" t="inlineStr">
        <is>
          <t>Starlink</t>
        </is>
      </c>
      <c r="B12" s="30" t="inlineStr">
        <is>
          <t>Not specified in source (Starlink seat 1 of 2)</t>
        </is>
      </c>
      <c r="C12" s="30" t="inlineStr">
        <is>
          <t>Starlink here is an Indian electronics manufacturer (per source: biometric attendance/RFID/smart-card hardware — NOT SpaceX Starlink; product line to be confirmed) that proposed a dispatch-planning project. Across two seats, interns run a time-and-motion study of the order-to-dispatch cycle over 30–40 recent orders, map every handoff (order confirm, picking, packing, invoicing, courier handover), identify the three biggest delays, and propose a revised dispatch schedule with a daily tracker. NOTE: the source 'Intern Seats' tab left this seat's individual role title/skills blank — description is drawn from the company-level scope.</t>
        </is>
      </c>
      <c r="D12" s="30" t="inlineStr">
        <is>
          <t>• Time the order-to-dispatch cycle across 30–40 orders
• Map each handoff in the dispatch process
• Identify the top 3 delays
• Propose a revised dispatch schedule + daily dispatch tracker template</t>
        </is>
      </c>
      <c r="E12" s="30" t="inlineStr">
        <is>
          <t>Not specified in source (project implies: process observation, time-and-motion recording, Google Sheets)</t>
        </is>
      </c>
      <c r="F12" s="30" t="inlineStr">
        <is>
          <t>NCR — plant/warehouse TBC</t>
        </is>
      </c>
      <c r="G12" s="30" t="inlineStr">
        <is>
          <t>Internship — On-site</t>
        </is>
      </c>
      <c r="H12" s="30" t="inlineStr">
        <is>
          <t>EkaNex micro-internship seat — NOT a public job posting and NOT advertised on a company careers page. Apply through the EkaNex programme; EkaNex matches selected students to the seat.</t>
        </is>
      </c>
      <c r="I12" s="30" t="inlineStr">
        <is>
          <t>Not found (no public application link). Apply via EkaNex — email arnav.singhal@ekanex.work</t>
        </is>
      </c>
      <c r="J12" s="30" t="inlineStr">
        <is>
          <t>https://docs.google.com/spreadsheets/d/1XF_OMH5-XMHomCOh0i0jh_lxthostvaHXpxffxtn4i0/edit  (tabs: 'Intern Seats' + 'Company Tracker')</t>
        </is>
      </c>
      <c r="K12" s="30"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2" s="30" t="inlineStr">
        <is>
          <t>21–31 Dec 2026 (8 working days, on-site)</t>
        </is>
      </c>
      <c r="M12" s="30" t="inlineStr">
        <is>
          <t>Proposed — 'Not yet approached' (per source Read Me; nothing confirmed)  ~ identity LIKELY: Star Link Communication Pvt. Ltd. (starlinkindia.com) biometric/RFID — confirm contact Varun</t>
        </is>
      </c>
    </row>
    <row r="13" ht="118" customHeight="1" s="27">
      <c r="A13" s="29" t="inlineStr">
        <is>
          <t>Starlink</t>
        </is>
      </c>
      <c r="B13" s="30" t="inlineStr">
        <is>
          <t>Not specified in source (Starlink seat 2 of 2)</t>
        </is>
      </c>
      <c r="C13" s="30" t="inlineStr">
        <is>
          <t>Second of Starlink's two proposed dispatch-planning seats (same project as seat 1). Interns share the order-to-dispatch time-and-motion study, delay analysis, revised dispatch schedule and daily tracker. NOTE: the source 'Intern Seats' tab left this seat's individual role title/skills blank — description is drawn from the company-level scope; split the two seats' tasks on confirmation.</t>
        </is>
      </c>
      <c r="D13" s="30" t="inlineStr">
        <is>
          <t>• Support the order-to-dispatch time-and-motion study (30–40 orders)
• Co-build the process map and delay analysis
• Help produce the revised dispatch plan + daily tracker</t>
        </is>
      </c>
      <c r="E13" s="30" t="inlineStr">
        <is>
          <t>Not specified in source (project implies: process observation, time-and-motion recording, Google Sheets)</t>
        </is>
      </c>
      <c r="F13" s="30" t="inlineStr">
        <is>
          <t>NCR — plant/warehouse TBC</t>
        </is>
      </c>
      <c r="G13" s="30" t="inlineStr">
        <is>
          <t>Internship — On-site</t>
        </is>
      </c>
      <c r="H13" s="30" t="inlineStr">
        <is>
          <t>EkaNex micro-internship seat — NOT a public job posting and NOT advertised on a company careers page. Apply through the EkaNex programme; EkaNex matches selected students to the seat.</t>
        </is>
      </c>
      <c r="I13" s="30" t="inlineStr">
        <is>
          <t>Not found (no public application link). Apply via EkaNex — email arnav.singhal@ekanex.work</t>
        </is>
      </c>
      <c r="J13" s="30" t="inlineStr">
        <is>
          <t>https://docs.google.com/spreadsheets/d/1XF_OMH5-XMHomCOh0i0jh_lxthostvaHXpxffxtn4i0/edit  (tabs: 'Intern Seats' + 'Company Tracker')</t>
        </is>
      </c>
      <c r="K13" s="30"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3" s="30" t="inlineStr">
        <is>
          <t>21–31 Dec 2026 (8 working days, on-site)</t>
        </is>
      </c>
      <c r="M13" s="30" t="inlineStr">
        <is>
          <t>Proposed — 'Not yet approached' (per source Read Me; nothing confirmed)  ~ identity LIKELY: Star Link Communication Pvt. Ltd. (starlinkindia.com) biometric/RFID — confirm contact Varun</t>
        </is>
      </c>
    </row>
    <row r="14" ht="118" customHeight="1" s="27">
      <c r="A14" s="29" t="inlineStr">
        <is>
          <t>Today Footwear</t>
        </is>
      </c>
      <c r="B14" s="30" t="inlineStr">
        <is>
          <t>Production Waste Auditor</t>
        </is>
      </c>
      <c r="C14" s="30" t="inlineStr">
        <is>
          <t>Generates the measured baseline for Today Footwear's waste-management project (footwear manufacturing). The intern weighs and categorises production scrap (leather, EVA, PU, rubber) at each process stage every day for two weeks. The work requires physical stamina, careful measurement and safety compliance.</t>
        </is>
      </c>
      <c r="D14" s="30" t="inlineStr">
        <is>
          <t>• Weigh and categorise scrap by material at each process stage daily for 2 weeks
• Record consistently to feed the recovery analysis</t>
        </is>
      </c>
      <c r="E14" s="30" t="inlineStr">
        <is>
          <t>Physical stamina; careful measurement; safety compliance</t>
        </is>
      </c>
      <c r="F14" s="30" t="inlineStr">
        <is>
          <t>NCR / Bahadurgarh belt — TBC</t>
        </is>
      </c>
      <c r="G14" s="30" t="inlineStr">
        <is>
          <t>Internship — On-site</t>
        </is>
      </c>
      <c r="H14" s="30" t="inlineStr">
        <is>
          <t>EkaNex micro-internship seat — NOT a public job posting and NOT advertised on a company careers page. Apply through the EkaNex programme; EkaNex matches selected students to the seat.</t>
        </is>
      </c>
      <c r="I14" s="30" t="inlineStr">
        <is>
          <t>Not found (no public application link). Apply via EkaNex — email arnav.singhal@ekanex.work</t>
        </is>
      </c>
      <c r="J14" s="30" t="inlineStr">
        <is>
          <t>https://docs.google.com/spreadsheets/d/1XF_OMH5-XMHomCOh0i0jh_lxthostvaHXpxffxtn4i0/edit  (tabs: 'Intern Seats' + 'Company Tracker')</t>
        </is>
      </c>
      <c r="K14" s="30"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 Note: site is not a daily commute for most Gurugram students — plan travel/timings.</t>
        </is>
      </c>
      <c r="L14" s="30" t="inlineStr">
        <is>
          <t>21–31 Dec 2026 (8 working days, on-site)</t>
        </is>
      </c>
      <c r="M14" s="30" t="inlineStr">
        <is>
          <t>Proposed — 'Not yet approached' (per source Read Me; nothing confirmed)  ✓ identity VERIFIED: Today Footwear Pvt. Ltd., Bahadurgarh (todayfootwear.co.in)</t>
        </is>
      </c>
    </row>
    <row r="15" ht="118" customHeight="1" s="27">
      <c r="A15" s="29" t="inlineStr">
        <is>
          <t>Today Footwear</t>
        </is>
      </c>
      <c r="B15" s="30" t="inlineStr">
        <is>
          <t>Material Recovery Analyst</t>
        </is>
      </c>
      <c r="C15" s="30" t="inlineStr">
        <is>
          <t>Turns Today Footwear's scrap data into recoverable margin. The intern prices each scrap category with local NCR buyers, builds a recovery model, and writes a segregation-at-source SOP with 2–3 reuse/resale routes and an estimated annual value. The work uses Sheets, cost analysis and vendor calling.</t>
        </is>
      </c>
      <c r="D15" s="30" t="inlineStr">
        <is>
          <t>• Price scrap categories with NCR scrap buyers
• Build the recovery/costing model
• Draft a segregation SOP + costed recovery proposal</t>
        </is>
      </c>
      <c r="E15" s="30" t="inlineStr">
        <is>
          <t>Google Sheets; cost analysis; vendor calling</t>
        </is>
      </c>
      <c r="F15" s="30" t="inlineStr">
        <is>
          <t>NCR / Bahadurgarh belt — TBC</t>
        </is>
      </c>
      <c r="G15" s="30" t="inlineStr">
        <is>
          <t>Internship — On-site</t>
        </is>
      </c>
      <c r="H15" s="30" t="inlineStr">
        <is>
          <t>EkaNex micro-internship seat — NOT a public job posting and NOT advertised on a company careers page. Apply through the EkaNex programme; EkaNex matches selected students to the seat.</t>
        </is>
      </c>
      <c r="I15" s="30" t="inlineStr">
        <is>
          <t>Not found (no public application link). Apply via EkaNex — email arnav.singhal@ekanex.work</t>
        </is>
      </c>
      <c r="J15" s="30" t="inlineStr">
        <is>
          <t>https://docs.google.com/spreadsheets/d/1XF_OMH5-XMHomCOh0i0jh_lxthostvaHXpxffxtn4i0/edit  (tabs: 'Intern Seats' + 'Company Tracker')</t>
        </is>
      </c>
      <c r="K15" s="30"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 Note: site is not a daily commute for most Gurugram students — plan travel/timings.</t>
        </is>
      </c>
      <c r="L15" s="30" t="inlineStr">
        <is>
          <t>21–31 Dec 2026 (8 working days, on-site)</t>
        </is>
      </c>
      <c r="M15" s="30" t="inlineStr">
        <is>
          <t>Proposed — 'Not yet approached' (per source Read Me; nothing confirmed)  ✓ identity VERIFIED: Today Footwear Pvt. Ltd., Bahadurgarh (todayfootwear.co.in)</t>
        </is>
      </c>
    </row>
    <row r="16" ht="118" customHeight="1" s="27">
      <c r="A16" s="29" t="inlineStr">
        <is>
          <t>Giriraj Coated</t>
        </is>
      </c>
      <c r="B16" s="30" t="inlineStr">
        <is>
          <t>Worker Engagement Intern</t>
        </is>
      </c>
      <c r="C16" s="30" t="inlineStr">
        <is>
          <t>Builds the human feedback loop for Giriraj Coated's structure/suggestion-system project (coated fabrics/paper, shift-based). The intern runs 25–30 structured floor interactions across shifts and facilitates the first weekly 15-minute floor huddles. The work requires Hindi fluency, facilitation and patience.</t>
        </is>
      </c>
      <c r="D16" s="30" t="inlineStr">
        <is>
          <t>• Run 25–30 structured worker interactions across shifts
• Facilitate the first weekly floor huddles
• Feed inputs into the suggestion system</t>
        </is>
      </c>
      <c r="E16" s="30" t="inlineStr">
        <is>
          <t>Hindi fluency; facilitation; patience</t>
        </is>
      </c>
      <c r="F16" s="30" t="inlineStr">
        <is>
          <t>NCR — plant TBC</t>
        </is>
      </c>
      <c r="G16" s="30" t="inlineStr">
        <is>
          <t>Internship — On-site</t>
        </is>
      </c>
      <c r="H16" s="30" t="inlineStr">
        <is>
          <t>EkaNex micro-internship seat — NOT a public job posting and NOT advertised on a company careers page. Apply through the EkaNex programme; EkaNex matches selected students to the seat.</t>
        </is>
      </c>
      <c r="I16" s="30" t="inlineStr">
        <is>
          <t>Not found (no public application link). Apply via EkaNex — email arnav.singhal@ekanex.work</t>
        </is>
      </c>
      <c r="J16" s="30" t="inlineStr">
        <is>
          <t>https://docs.google.com/spreadsheets/d/1XF_OMH5-XMHomCOh0i0jh_lxthostvaHXpxffxtn4i0/edit  (tabs: 'Intern Seats' + 'Company Tracker')</t>
        </is>
      </c>
      <c r="K16" s="30"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6" s="30" t="inlineStr">
        <is>
          <t>21–31 Dec 2026 (8 working days, on-site)</t>
        </is>
      </c>
      <c r="M16" s="30" t="inlineStr">
        <is>
          <t>Proposed — 'Not yet approached' (per source Read Me; nothing confirmed)  ✓ identity VERIFIED: Giriraj Coated, Bahadurgarh (girirajcoated.com) — PVC coated fabric / synthetic leather</t>
        </is>
      </c>
    </row>
    <row r="17" ht="118" customHeight="1" s="27">
      <c r="A17" s="29" t="inlineStr">
        <is>
          <t>Giriraj Coated</t>
        </is>
      </c>
      <c r="B17" s="30" t="inlineStr">
        <is>
          <t>Org Structure &amp; Systems Intern</t>
        </is>
      </c>
      <c r="C17" s="30" t="inlineStr">
        <is>
          <t>Designs the reporting and suggestion system for Giriraj Coated. The intern maps the current reporting structure and where information stops, designs a suggestion mechanism (box + weekly huddle) with a response SLA and named owner, and logs and categorises the first two weeks of suggestions. The work uses process design, documentation and Sheets.</t>
        </is>
      </c>
      <c r="D17" s="30" t="inlineStr">
        <is>
          <t>• Map org and information-flow (find where information stops)
• Design the suggestion mechanism + SLA/owner
• Launch it and log/categorise the first suggestions</t>
        </is>
      </c>
      <c r="E17" s="30" t="inlineStr">
        <is>
          <t>Process design; documentation; Google Sheets</t>
        </is>
      </c>
      <c r="F17" s="30" t="inlineStr">
        <is>
          <t>NCR — plant TBC</t>
        </is>
      </c>
      <c r="G17" s="30" t="inlineStr">
        <is>
          <t>Internship — On-site</t>
        </is>
      </c>
      <c r="H17" s="30" t="inlineStr">
        <is>
          <t>EkaNex micro-internship seat — NOT a public job posting and NOT advertised on a company careers page. Apply through the EkaNex programme; EkaNex matches selected students to the seat.</t>
        </is>
      </c>
      <c r="I17" s="30" t="inlineStr">
        <is>
          <t>Not found (no public application link). Apply via EkaNex — email arnav.singhal@ekanex.work</t>
        </is>
      </c>
      <c r="J17" s="30" t="inlineStr">
        <is>
          <t>https://docs.google.com/spreadsheets/d/1XF_OMH5-XMHomCOh0i0jh_lxthostvaHXpxffxtn4i0/edit  (tabs: 'Intern Seats' + 'Company Tracker')</t>
        </is>
      </c>
      <c r="K17" s="30"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7" s="30" t="inlineStr">
        <is>
          <t>21–31 Dec 2026 (8 working days, on-site)</t>
        </is>
      </c>
      <c r="M17" s="30" t="inlineStr">
        <is>
          <t>Proposed — 'Not yet approached' (per source Read Me; nothing confirmed)  ✓ identity VERIFIED: Giriraj Coated, Bahadurgarh (girirajcoated.com) — PVC coated fabric / synthetic leather</t>
        </is>
      </c>
    </row>
    <row r="18" ht="118" customHeight="1" s="27">
      <c r="A18" s="29" t="inlineStr">
        <is>
          <t>SSF</t>
        </is>
      </c>
      <c r="B18" s="30" t="inlineStr">
        <is>
          <t>Inventory Audit Intern</t>
        </is>
      </c>
      <c r="C18" s="30" t="inlineStr">
        <is>
          <t>Runs the physical count for SSF's inventory/warehouse project. The intern performs a physical stock audit against system records and flags every mismatch. The work requires accuracy, stamina and spreadsheet data entry. NOTE: SSF's full registered company name is unknown in the source — get the full name and category before start.</t>
        </is>
      </c>
      <c r="D18" s="30" t="inlineStr">
        <is>
          <t>• Physically count stock against system records
• Flag and log every mismatch for the analyst</t>
        </is>
      </c>
      <c r="E18" s="30" t="inlineStr">
        <is>
          <t>Accuracy; stamina; spreadsheet entry</t>
        </is>
      </c>
      <c r="F18" s="30" t="inlineStr">
        <is>
          <t>TBC</t>
        </is>
      </c>
      <c r="G18" s="30" t="inlineStr">
        <is>
          <t>Internship — On-site</t>
        </is>
      </c>
      <c r="H18" s="30" t="inlineStr">
        <is>
          <t>EkaNex micro-internship seat — NOT a public job posting and NOT advertised on a company careers page. Apply through the EkaNex programme; EkaNex matches selected students to the seat.</t>
        </is>
      </c>
      <c r="I18" s="30" t="inlineStr">
        <is>
          <t>Not found (no public application link). Apply via EkaNex — email arnav.singhal@ekanex.work</t>
        </is>
      </c>
      <c r="J18" s="30" t="inlineStr">
        <is>
          <t>https://docs.google.com/spreadsheets/d/1XF_OMH5-XMHomCOh0i0jh_lxthostvaHXpxffxtn4i0/edit  (tabs: 'Intern Seats' + 'Company Tracker')</t>
        </is>
      </c>
      <c r="K18" s="30"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8" s="30" t="inlineStr">
        <is>
          <t>21–31 Dec 2026 (8 working days, on-site)</t>
        </is>
      </c>
      <c r="M18" s="30" t="inlineStr">
        <is>
          <t>Proposed — 'Not yet approached' (per source Read Me; nothing confirmed)  ⚠ identity UNKNOWN (initials only in source — get full registered name before verifying)</t>
        </is>
      </c>
    </row>
    <row r="19" ht="118" customHeight="1" s="27">
      <c r="A19" s="29" t="inlineStr">
        <is>
          <t>SSF</t>
        </is>
      </c>
      <c r="B19" s="30" t="inlineStr">
        <is>
          <t>Inventory Analyst</t>
        </is>
      </c>
      <c r="C19" s="30" t="inlineStr">
        <is>
          <t>Quantifies the cash locked in SSF's stock. The intern builds a 12-month fast/slow/dead movement classification, estimates capital locked in slow and dead stock, and sets reorder levels for the top 30 SKUs. The work uses Sheets, ABC analysis and basic working-capital logic. NOTE: SSF's full registered name is unknown in the source.</t>
        </is>
      </c>
      <c r="D19" s="30" t="inlineStr">
        <is>
          <t>• Classify inventory by 12-month movement (ABC: fast/slow/dead)
• Quantify capital locked in slow + dead stock
• Set reorder levels for the top 30 SKUs; propose a dead-stock disposal route</t>
        </is>
      </c>
      <c r="E19" s="30" t="inlineStr">
        <is>
          <t>Google Sheets; ABC analysis; basic working-capital logic</t>
        </is>
      </c>
      <c r="F19" s="30" t="inlineStr">
        <is>
          <t>TBC</t>
        </is>
      </c>
      <c r="G19" s="30" t="inlineStr">
        <is>
          <t>Internship — On-site</t>
        </is>
      </c>
      <c r="H19" s="30" t="inlineStr">
        <is>
          <t>EkaNex micro-internship seat — NOT a public job posting and NOT advertised on a company careers page. Apply through the EkaNex programme; EkaNex matches selected students to the seat.</t>
        </is>
      </c>
      <c r="I19" s="30" t="inlineStr">
        <is>
          <t>Not found (no public application link). Apply via EkaNex — email arnav.singhal@ekanex.work</t>
        </is>
      </c>
      <c r="J19" s="30" t="inlineStr">
        <is>
          <t>https://docs.google.com/spreadsheets/d/1XF_OMH5-XMHomCOh0i0jh_lxthostvaHXpxffxtn4i0/edit  (tabs: 'Intern Seats' + 'Company Tracker')</t>
        </is>
      </c>
      <c r="K19" s="30" t="inlineStr">
        <is>
          <t>EkaNex programme: Grade 11–12 student in Delhi NCR (no prior experience required). Written parental consent required before starting. Confidentiality undertaking required (interns see sales data, wages and dealer lists). On-site factory placement: confirm under-18 students may legally be on the floor and complete the site's safety induction (verify per site, per source Call Script).</t>
        </is>
      </c>
      <c r="L19" s="30" t="inlineStr">
        <is>
          <t>21–31 Dec 2026 (8 working days, on-site)</t>
        </is>
      </c>
      <c r="M19" s="30" t="inlineStr">
        <is>
          <t>Proposed — 'Not yet approached' (per source Read Me; nothing confirmed)  ⚠ identity UNKNOWN (initials only in source — get full registered name before verifying)</t>
        </is>
      </c>
    </row>
    <row r="20" ht="118" customHeight="1" s="27">
      <c r="A20" s="29" t="inlineStr">
        <is>
          <t>Adhi Foam</t>
        </is>
      </c>
      <c r="B20" s="30" t="inlineStr">
        <is>
          <t>E-commerce Listing Analyst</t>
        </is>
      </c>
      <c r="C20" s="30" t="inlineStr">
        <is>
          <t>Fixes the search-first shopfront for Adhi Foam's sales-growth project (foam/mattress manufacturing). The intern audits the brand's Amazon, Flipkart and search presence against five competitors (listings, pricing, images, review volume, rating) and drafts improved listings. The work needs Amazon/Flipkart familiarity, copywriting and Sheets.</t>
        </is>
      </c>
      <c r="D20" s="30" t="inlineStr">
        <is>
          <t>• Audit marketplace + search presence vs 5 competitors
• Draft improved product listings
• Feed the marketplace listing-improvement plan</t>
        </is>
      </c>
      <c r="E20" s="30" t="inlineStr">
        <is>
          <t>Amazon/Flipkart familiarity; copywriting; Google Sheets</t>
        </is>
      </c>
      <c r="F20" s="30" t="inlineStr">
        <is>
          <t>NCR — TBC</t>
        </is>
      </c>
      <c r="G20" s="30" t="inlineStr">
        <is>
          <t>Internship — Remote + dealer visits</t>
        </is>
      </c>
      <c r="H20" s="30" t="inlineStr">
        <is>
          <t>EkaNex micro-internship seat — NOT a public job posting and NOT advertised on a company careers page. Apply through the EkaNex programme; EkaNex matches selected students to the seat.</t>
        </is>
      </c>
      <c r="I20" s="30" t="inlineStr">
        <is>
          <t>Not found (no public application link). Apply via EkaNex — email arnav.singhal@ekanex.work</t>
        </is>
      </c>
      <c r="J20" s="30" t="inlineStr">
        <is>
          <t>https://docs.google.com/spreadsheets/d/1XF_OMH5-XMHomCOh0i0jh_lxthostvaHXpxffxtn4i0/edit  (tabs: 'Intern Seats' + 'Company Tracker')</t>
        </is>
      </c>
      <c r="K20" s="30" t="inlineStr">
        <is>
          <t>EkaNex programme: Grade 11–12 student in Delhi NCR (no prior experience required). Written parental consent required before starting. Confidentiality undertaking required (interns see sales data, wages and dealer lists).</t>
        </is>
      </c>
      <c r="L20" s="30" t="inlineStr">
        <is>
          <t>7–18 Dec 2026 (10 working days, remote-led)</t>
        </is>
      </c>
      <c r="M20" s="30" t="inlineStr">
        <is>
          <t>Proposed — 'Not yet approached' (per source Read Me; nothing confirmed)  ⚠ identity UNCONFIRMED (no clear 'Adhi Foam' match; possible lead 'Aadi Polymers', Greater Noida — verify)</t>
        </is>
      </c>
    </row>
    <row r="21" ht="118" customHeight="1" s="27">
      <c r="A21" s="29" t="inlineStr">
        <is>
          <t>Adhi Foam</t>
        </is>
      </c>
      <c r="B21" s="30" t="inlineStr">
        <is>
          <t>Dealer Research Intern</t>
        </is>
      </c>
      <c r="C21" s="30" t="inlineStr">
        <is>
          <t>Brings the dealer voice into Adhi Foam's plan. The intern runs 10 dealer interviews on what customers ask for and object to, and builds a dealer-support kit. The work needs Hindi, phone/field confidence and Slides.</t>
        </is>
      </c>
      <c r="D21" s="30" t="inlineStr">
        <is>
          <t>• Conduct 10 dealer interviews (customer asks + objections)
• Synthesise findings
• Build a dealer-support kit</t>
        </is>
      </c>
      <c r="E21" s="30" t="inlineStr">
        <is>
          <t>Hindi; phone/field confidence; Google Slides</t>
        </is>
      </c>
      <c r="F21" s="30" t="inlineStr">
        <is>
          <t>NCR — TBC</t>
        </is>
      </c>
      <c r="G21" s="30" t="inlineStr">
        <is>
          <t>Internship — Remote + dealer visits</t>
        </is>
      </c>
      <c r="H21" s="30" t="inlineStr">
        <is>
          <t>EkaNex micro-internship seat — NOT a public job posting and NOT advertised on a company careers page. Apply through the EkaNex programme; EkaNex matches selected students to the seat.</t>
        </is>
      </c>
      <c r="I21" s="30" t="inlineStr">
        <is>
          <t>Not found (no public application link). Apply via EkaNex — email arnav.singhal@ekanex.work</t>
        </is>
      </c>
      <c r="J21" s="30" t="inlineStr">
        <is>
          <t>https://docs.google.com/spreadsheets/d/1XF_OMH5-XMHomCOh0i0jh_lxthostvaHXpxffxtn4i0/edit  (tabs: 'Intern Seats' + 'Company Tracker')</t>
        </is>
      </c>
      <c r="K21" s="30" t="inlineStr">
        <is>
          <t>EkaNex programme: Grade 11–12 student in Delhi NCR (no prior experience required). Written parental consent required before starting. Confidentiality undertaking required (interns see sales data, wages and dealer lists).</t>
        </is>
      </c>
      <c r="L21" s="30" t="inlineStr">
        <is>
          <t>7–18 Dec 2026 (10 working days, remote-led)</t>
        </is>
      </c>
      <c r="M21" s="30" t="inlineStr">
        <is>
          <t>Proposed — 'Not yet approached' (per source Read Me; nothing confirmed)  ⚠ identity UNCONFIRMED (no clear 'Adhi Foam' match; possible lead 'Aadi Polymers', Greater Noida — verify)</t>
        </is>
      </c>
    </row>
    <row r="22" ht="118" customHeight="1" s="27">
      <c r="A22" s="29" t="inlineStr">
        <is>
          <t>Kanodia</t>
        </is>
      </c>
      <c r="B22" s="30" t="inlineStr">
        <is>
          <t>Dealer Survey Intern</t>
        </is>
      </c>
      <c r="C22" s="30" t="inlineStr">
        <is>
          <t>Runs the field survey for Kanodia's competitor/dealer-feedback project (cement/building materials; likely Kanodia Group, Greater Noida — confirm). The intern administers a 20-dealer survey in the field on stocking and push preference and records responses cleanly. The work needs Hindi, field comfort and survey discipline.</t>
        </is>
      </c>
      <c r="D22" s="30" t="inlineStr">
        <is>
          <t>• Administer the 20-dealer field survey (stocking + push preference)
• Record responses cleanly for analysis</t>
        </is>
      </c>
      <c r="E22" s="30" t="inlineStr">
        <is>
          <t>Hindi; field comfort; survey discipline</t>
        </is>
      </c>
      <c r="F22" s="30" t="inlineStr">
        <is>
          <t>Greater Noida / NCR — TBC</t>
        </is>
      </c>
      <c r="G22" s="30" t="inlineStr">
        <is>
          <t>Internship — Hybrid + field</t>
        </is>
      </c>
      <c r="H22" s="30" t="inlineStr">
        <is>
          <t>EkaNex micro-internship seat — NOT a public job posting and NOT advertised on a company careers page. Apply through the EkaNex programme; EkaNex matches selected students to the seat.</t>
        </is>
      </c>
      <c r="I22" s="30" t="inlineStr">
        <is>
          <t>Not found (no public application link). Apply via EkaNex — email arnav.singhal@ekanex.work</t>
        </is>
      </c>
      <c r="J22" s="30" t="inlineStr">
        <is>
          <t>https://docs.google.com/spreadsheets/d/1XF_OMH5-XMHomCOh0i0jh_lxthostvaHXpxffxtn4i0/edit  (tabs: 'Intern Seats' + 'Company Tracker')</t>
        </is>
      </c>
      <c r="K22" s="30" t="inlineStr">
        <is>
          <t>EkaNex programme: Grade 11–12 student in Delhi NCR (no prior experience required). Written parental consent required before starting. Confidentiality undertaking required (interns see sales data, wages and dealer lists). Note: site is not a daily commute for most Gurugram students — plan travel/timings.</t>
        </is>
      </c>
      <c r="L22" s="30" t="inlineStr">
        <is>
          <t>7–18 Dec 2026 (10 working days)</t>
        </is>
      </c>
      <c r="M22" s="30" t="inlineStr">
        <is>
          <t>Proposed — 'Not yet approached' (per source Read Me; nothing confirmed)  ~ identity LIKELY: Kanodia Cement Ltd / Kanodia Group (kanodiacement.co.in) — confirm which Kanodia entity</t>
        </is>
      </c>
    </row>
    <row r="23" ht="118" customHeight="1" s="27">
      <c r="A23" s="29" t="inlineStr">
        <is>
          <t>Kanodia</t>
        </is>
      </c>
      <c r="B23" s="30" t="inlineStr">
        <is>
          <t>Competitive Strategy Intern</t>
        </is>
      </c>
      <c r="C23" s="30" t="inlineStr">
        <is>
          <t>Builds the strategy output for Kanodia. The intern constructs a 5-brand competitor matrix (price, dealer margin, credit period, delivery time, promotional support), analyses the dealer survey, and writes two prioritised recommendations where the gap is widest and cheapest to close. The work uses Sheets, desk research and recommendation writing.</t>
        </is>
      </c>
      <c r="D23" s="30" t="inlineStr">
        <is>
          <t>• Build a 5-brand competitor matrix
• Analyse the dealer survey results
• Write 2 prioritised recommendations</t>
        </is>
      </c>
      <c r="E23" s="30" t="inlineStr">
        <is>
          <t>Google Sheets; desk research; recommendation writing</t>
        </is>
      </c>
      <c r="F23" s="30" t="inlineStr">
        <is>
          <t>Greater Noida / NCR — TBC</t>
        </is>
      </c>
      <c r="G23" s="30" t="inlineStr">
        <is>
          <t>Internship — Hybrid + field</t>
        </is>
      </c>
      <c r="H23" s="30" t="inlineStr">
        <is>
          <t>EkaNex micro-internship seat — NOT a public job posting and NOT advertised on a company careers page. Apply through the EkaNex programme; EkaNex matches selected students to the seat.</t>
        </is>
      </c>
      <c r="I23" s="30" t="inlineStr">
        <is>
          <t>Not found (no public application link). Apply via EkaNex — email arnav.singhal@ekanex.work</t>
        </is>
      </c>
      <c r="J23" s="30" t="inlineStr">
        <is>
          <t>https://docs.google.com/spreadsheets/d/1XF_OMH5-XMHomCOh0i0jh_lxthostvaHXpxffxtn4i0/edit  (tabs: 'Intern Seats' + 'Company Tracker')</t>
        </is>
      </c>
      <c r="K23" s="30" t="inlineStr">
        <is>
          <t>EkaNex programme: Grade 11–12 student in Delhi NCR (no prior experience required). Written parental consent required before starting. Confidentiality undertaking required (interns see sales data, wages and dealer lists). Note: site is not a daily commute for most Gurugram students — plan travel/timings.</t>
        </is>
      </c>
      <c r="L23" s="30" t="inlineStr">
        <is>
          <t>7–18 Dec 2026 (10 working days)</t>
        </is>
      </c>
      <c r="M23" s="30" t="inlineStr">
        <is>
          <t>Proposed — 'Not yet approached' (per source Read Me; nothing confirmed)  ~ identity LIKELY: Kanodia Cement Ltd / Kanodia Group (kanodiacement.co.in) — confirm which Kanodia entity</t>
        </is>
      </c>
    </row>
  </sheetData>
  <autoFilter ref="A1:M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8" customWidth="1" style="27" min="1" max="1"/>
    <col width="32" customWidth="1" style="27" min="2" max="2"/>
    <col width="22" customWidth="1" style="27" min="3" max="3"/>
    <col width="26" customWidth="1" style="27" min="4" max="4"/>
    <col width="42" customWidth="1" style="27" min="5" max="5"/>
    <col width="30" customWidth="1" style="27" min="6" max="6"/>
    <col width="16" customWidth="1" style="27" min="7" max="7"/>
    <col width="52" customWidth="1" style="27" min="8" max="8"/>
    <col width="40" customWidth="1" style="27" min="9" max="9"/>
  </cols>
  <sheetData>
    <row r="1" ht="30" customHeight="1" s="27">
      <c r="A1" s="31" t="inlineStr">
        <is>
          <t>Company (as in sheet)</t>
        </is>
      </c>
      <c r="B1" s="31" t="inlineStr">
        <is>
          <t>Verified Legal Name</t>
        </is>
      </c>
      <c r="C1" s="31" t="inlineStr">
        <is>
          <t>Confidence</t>
        </is>
      </c>
      <c r="D1" s="31" t="inlineStr">
        <is>
          <t>Website</t>
        </is>
      </c>
      <c r="E1" s="31" t="inlineStr">
        <is>
          <t>Sector / What They Do (verified)</t>
        </is>
      </c>
      <c r="F1" s="31" t="inlineStr">
        <is>
          <t>Location (verified)</t>
        </is>
      </c>
      <c r="G1" s="31" t="inlineStr">
        <is>
          <t>Matches Sheet?</t>
        </is>
      </c>
      <c r="H1" s="31" t="inlineStr">
        <is>
          <t>Verification Notes</t>
        </is>
      </c>
      <c r="I1" s="31" t="inlineStr">
        <is>
          <t>Source(s)</t>
        </is>
      </c>
    </row>
    <row r="2" ht="96" customHeight="1" s="27">
      <c r="A2" s="32" t="inlineStr">
        <is>
          <t>Paras</t>
        </is>
      </c>
      <c r="B2" s="33" t="inlineStr">
        <is>
          <t>Ambiguous — 2 real candidates</t>
        </is>
      </c>
      <c r="C2" s="34" t="inlineStr">
        <is>
          <t>UNCONFIRMED</t>
        </is>
      </c>
      <c r="D2" s="33" t="inlineStr">
        <is>
          <t>parasbuildtech.com (real estate)</t>
        </is>
      </c>
      <c r="E2" s="33" t="inlineStr">
        <is>
          <t>Candidate A: Paras Buildtech — premium real estate developer. Candidate B: Paras Dairy — FMCG dairy (brand run by VRS Foods).</t>
        </is>
      </c>
      <c r="F2" s="33" t="inlineStr">
        <is>
          <t>Gurgaon / Delhi NCR (Buildtech)</t>
        </is>
      </c>
      <c r="G2" s="33" t="inlineStr">
        <is>
          <t>Partly</t>
        </is>
      </c>
      <c r="H2" s="33" t="inlineStr">
        <is>
          <t>Sheet's own dichotomy is correct — 'Paras' could be real estate or dairy. Paras Buildtech is the real-estate arm of Paras Group (est. 1968). Confirm the exact entity and unit with Ashu.</t>
        </is>
      </c>
      <c r="I2" s="33" t="inlineStr">
        <is>
          <t>parasbuildtech.com; LinkedIn; Tracxn</t>
        </is>
      </c>
    </row>
    <row r="3" ht="96" customHeight="1" s="27">
      <c r="A3" s="32" t="inlineStr">
        <is>
          <t>Balaji Aluminium</t>
        </is>
      </c>
      <c r="B3" s="33" t="inlineStr">
        <is>
          <t>Balaji Aluminium Extrusions Pvt. Ltd.</t>
        </is>
      </c>
      <c r="C3" s="35" t="inlineStr">
        <is>
          <t>VERIFIED (High)</t>
        </is>
      </c>
      <c r="D3" s="33" t="inlineStr">
        <is>
          <t>balajialuminium.com</t>
        </is>
      </c>
      <c r="E3" s="33" t="inlineStr">
        <is>
          <t>Aluminium extrusion manufacturer — profiles, sections, anodizing, powder coating (est. 2013).</t>
        </is>
      </c>
      <c r="F3" s="33" t="inlineStr">
        <is>
          <t>Plot 109, Sector-16, HSIIDC, Bahadurgarh 124507, Haryana (NCR)</t>
        </is>
      </c>
      <c r="G3" s="33" t="inlineStr">
        <is>
          <t>Yes</t>
        </is>
      </c>
      <c r="H3" s="33" t="inlineStr">
        <is>
          <t>Strong match: the phone number in the sheet (9810944050, contact Ankur) matches the company's publicly listed number. Sector matches.</t>
        </is>
      </c>
      <c r="I3" s="33" t="inlineStr">
        <is>
          <t>balajialuminium.com; indiamart.com; LinkedIn</t>
        </is>
      </c>
    </row>
    <row r="4" ht="96" customHeight="1" s="27">
      <c r="A4" s="32" t="inlineStr">
        <is>
          <t>True Fit</t>
        </is>
      </c>
      <c r="B4" s="33" t="inlineStr">
        <is>
          <t>Not verified</t>
        </is>
      </c>
      <c r="C4" s="34" t="inlineStr">
        <is>
          <t>UNCONFIRMED</t>
        </is>
      </c>
      <c r="D4" s="33" t="inlineStr">
        <is>
          <t>Not found</t>
        </is>
      </c>
      <c r="E4" s="33" t="inlineStr">
        <is>
          <t>Per sheet: apparel / garment manufacturing (unverified).</t>
        </is>
      </c>
      <c r="F4" s="33" t="inlineStr">
        <is>
          <t>NCR (per sheet)</t>
        </is>
      </c>
      <c r="G4" s="33" t="inlineStr">
        <is>
          <t>Unverified</t>
        </is>
      </c>
      <c r="H4" s="33" t="inlineStr">
        <is>
          <t>No specific NCR garment manufacturer named 'True Fit' found; the name is generic (also a global fit-tech brand). Get the full registered name from Puneet.</t>
        </is>
      </c>
      <c r="I4" s="33" t="inlineStr">
        <is>
          <t>Garment-cluster directories (no specific match)</t>
        </is>
      </c>
    </row>
    <row r="5" ht="96" customHeight="1" s="27">
      <c r="A5" s="32" t="inlineStr">
        <is>
          <t>Columbus</t>
        </is>
      </c>
      <c r="B5" s="33" t="inlineStr">
        <is>
          <t>Multiple candidates; none confirmed</t>
        </is>
      </c>
      <c r="C5" s="34" t="inlineStr">
        <is>
          <t>UNCONFIRMED</t>
        </is>
      </c>
      <c r="D5" s="33" t="inlineStr">
        <is>
          <t>Not found</t>
        </is>
      </c>
      <c r="E5" s="33" t="inlineStr">
        <is>
          <t>Several unrelated Delhi firms: Columbus India Pvt Ltd (BPO/debt collection); Columbus Marketing Pvt Ltd (footwear). Neither clearly a consumer-products distributor.</t>
        </is>
      </c>
      <c r="F5" s="33" t="inlineStr">
        <is>
          <t>New Delhi (candidates)</t>
        </is>
      </c>
      <c r="G5" s="33" t="inlineStr">
        <is>
          <t>Unverified</t>
        </is>
      </c>
      <c r="H5" s="33" t="inlineStr">
        <is>
          <t>The sheet's category ('consumer products/distribution') was itself a guess. Confirm the category, distribution model and legal entity with Kapil before scoping.</t>
        </is>
      </c>
      <c r="I5" s="33" t="inlineStr">
        <is>
          <t>indiamart.com; tracxn.com; zaubacorp.com</t>
        </is>
      </c>
    </row>
    <row r="6" ht="96" customHeight="1" s="27">
      <c r="A6" s="32" t="inlineStr">
        <is>
          <t>OneNDF</t>
        </is>
      </c>
      <c r="B6" s="33" t="inlineStr">
        <is>
          <t>OneNDF (One NDF)</t>
        </is>
      </c>
      <c r="C6" s="35" t="inlineStr">
        <is>
          <t>VERIFIED (High)</t>
        </is>
      </c>
      <c r="D6" s="33" t="inlineStr">
        <is>
          <t>onendf.com</t>
        </is>
      </c>
      <c r="E6" s="33" t="inlineStr">
        <is>
          <t>Fintech — API-enabled SME loan / debt marketplace connecting borrowers with lenders &amp; NBFCs (founded 2013).</t>
        </is>
      </c>
      <c r="F6" s="33" t="inlineStr">
        <is>
          <t>New Delhi</t>
        </is>
      </c>
      <c r="G6" s="33" t="inlineStr">
        <is>
          <t>Yes</t>
        </is>
      </c>
      <c r="H6" s="33" t="inlineStr">
        <is>
          <t>Matches sheet exactly. Founder Nitin Khandelwal aligns with the sheet's contact route 'via Khandu's father'.</t>
        </is>
      </c>
      <c r="I6" s="33" t="inlineStr">
        <is>
          <t>onendf.com; LinkedIn; tracxn.com</t>
        </is>
      </c>
    </row>
    <row r="7" ht="96" customHeight="1" s="27">
      <c r="A7" s="32" t="inlineStr">
        <is>
          <t>Starlink</t>
        </is>
      </c>
      <c r="B7" s="33" t="inlineStr">
        <is>
          <t>Star Link Communication Pvt. Ltd.</t>
        </is>
      </c>
      <c r="C7" s="36" t="inlineStr">
        <is>
          <t>LIKELY (Medium-High)</t>
        </is>
      </c>
      <c r="D7" s="33" t="inlineStr">
        <is>
          <t>starlinkindia.com</t>
        </is>
      </c>
      <c r="E7" s="33" t="inlineStr">
        <is>
          <t>Indian manufacturer of biometric attendance, access-control, RFID and smart-card devices (NOT SpaceX Starlink) (est. 1996).</t>
        </is>
      </c>
      <c r="F7" s="33" t="inlineStr">
        <is>
          <t>New Delhi</t>
        </is>
      </c>
      <c r="G7" s="33" t="inlineStr">
        <is>
          <t>Yes (product); contact unverified</t>
        </is>
      </c>
      <c r="H7" s="33" t="inlineStr">
        <is>
          <t>Product category matches the sheet exactly. Director listed publicly is Vipin Yadav; the sheet's contact 'Varun' is unverified — confirm this is the intended firm and contact.</t>
        </is>
      </c>
      <c r="I7" s="33" t="inlineStr">
        <is>
          <t>starlinkindia.com; tradeindia.com; thewire.in</t>
        </is>
      </c>
    </row>
    <row r="8" ht="96" customHeight="1" s="27">
      <c r="A8" s="32" t="inlineStr">
        <is>
          <t>Today Footwear</t>
        </is>
      </c>
      <c r="B8" s="33" t="inlineStr">
        <is>
          <t>Today Footwear Pvt. Ltd.</t>
        </is>
      </c>
      <c r="C8" s="35" t="inlineStr">
        <is>
          <t>VERIFIED (High)</t>
        </is>
      </c>
      <c r="D8" s="33" t="inlineStr">
        <is>
          <t>todayfootwear.co.in</t>
        </is>
      </c>
      <c r="E8" s="33" t="inlineStr">
        <is>
          <t>Footwear manufacturer — ladies/gents/kids footwear (est. 1991, 50+ staff).</t>
        </is>
      </c>
      <c r="F8" s="33" t="inlineStr">
        <is>
          <t>Plot 25/2, MIE Part-A, Bahadurgarh 124507, Haryana (footwear hub)</t>
        </is>
      </c>
      <c r="G8" s="33" t="inlineStr">
        <is>
          <t>Yes</t>
        </is>
      </c>
      <c r="H8" s="33" t="inlineStr">
        <is>
          <t>Clear match on name, sector and Bahadurgarh location.</t>
        </is>
      </c>
      <c r="I8" s="33" t="inlineStr">
        <is>
          <t>todayfootwear.co.in; indiamart.com; tradeindia.com</t>
        </is>
      </c>
    </row>
    <row r="9" ht="96" customHeight="1" s="27">
      <c r="A9" s="32" t="inlineStr">
        <is>
          <t>Giriraj Coated</t>
        </is>
      </c>
      <c r="B9" s="33" t="inlineStr">
        <is>
          <t>Giriraj Coated</t>
        </is>
      </c>
      <c r="C9" s="35" t="inlineStr">
        <is>
          <t>VERIFIED (High)</t>
        </is>
      </c>
      <c r="D9" s="33" t="inlineStr">
        <is>
          <t>girirajcoated.com</t>
        </is>
      </c>
      <c r="E9" s="33" t="inlineStr">
        <is>
          <t>PVC coated fabric / synthetic (artificial) leather manufacturer — automotive, footwear, furnishing, railways, defence.</t>
        </is>
      </c>
      <c r="F9" s="33" t="inlineStr">
        <is>
          <t>Delhi–Rohtak Road, Bahadurgarh 124507, Haryana</t>
        </is>
      </c>
      <c r="G9" s="33" t="inlineStr">
        <is>
          <t>Yes (correct the product)</t>
        </is>
      </c>
      <c r="H9" s="33" t="inlineStr">
        <is>
          <t>Confirmed. Actual product is PVC coated fabric / synthetic leather — not coated paper or tarpaulin as the sheet guessed. Update the sheet's 'Sector — VERIFY' cell.</t>
        </is>
      </c>
      <c r="I9" s="33" t="inlineStr">
        <is>
          <t>girirajcoated.com; indiamart.com</t>
        </is>
      </c>
    </row>
    <row r="10" ht="96" customHeight="1" s="27">
      <c r="A10" s="32" t="inlineStr">
        <is>
          <t>SSF</t>
        </is>
      </c>
      <c r="B10" s="33" t="inlineStr">
        <is>
          <t>Not verifiable</t>
        </is>
      </c>
      <c r="C10" s="34" t="inlineStr">
        <is>
          <t>UNKNOWN</t>
        </is>
      </c>
      <c r="D10" s="33" t="inlineStr">
        <is>
          <t>Not found</t>
        </is>
      </c>
      <c r="E10" s="33" t="inlineStr">
        <is>
          <t>Unknown — initials only, no category or contact in source.</t>
        </is>
      </c>
      <c r="F10" s="33" t="inlineStr">
        <is>
          <t>Unknown</t>
        </is>
      </c>
      <c r="G10" s="33" t="inlineStr">
        <is>
          <t>Cannot check</t>
        </is>
      </c>
      <c r="H10" s="33" t="inlineStr">
        <is>
          <t>Nothing to verify against. Per the sheet's own note, obtain the full registered company name and a contact person before anything else.</t>
        </is>
      </c>
      <c r="I10" s="33" t="inlineStr">
        <is>
          <t>—</t>
        </is>
      </c>
    </row>
    <row r="11" ht="96" customHeight="1" s="27">
      <c r="A11" s="32" t="inlineStr">
        <is>
          <t>Adhi Foam</t>
        </is>
      </c>
      <c r="B11" s="33" t="inlineStr">
        <is>
          <t>Not confirmed</t>
        </is>
      </c>
      <c r="C11" s="34" t="inlineStr">
        <is>
          <t>UNCONFIRMED</t>
        </is>
      </c>
      <c r="D11" s="33" t="inlineStr">
        <is>
          <t>Not found</t>
        </is>
      </c>
      <c r="E11" s="33" t="inlineStr">
        <is>
          <t>Per sheet: PU foam / mattress manufacturing (unverified).</t>
        </is>
      </c>
      <c r="F11" s="33" t="inlineStr">
        <is>
          <t>NCR (per sheet)</t>
        </is>
      </c>
      <c r="G11" s="33" t="inlineStr">
        <is>
          <t>Unverified</t>
        </is>
      </c>
      <c r="H11" s="33" t="inlineStr">
        <is>
          <t>No company clearly named 'Adhi Foam' found. Possible lead (NOT confirmed): 'Aadi Polymers', a mattress-foam maker in Greater Noida — verify the exact spelling and legal name with the contact.</t>
        </is>
      </c>
      <c r="I11" s="33" t="inlineStr">
        <is>
          <t>aadipolymers.com (possible lead only)</t>
        </is>
      </c>
    </row>
    <row r="12" ht="96" customHeight="1" s="27">
      <c r="A12" s="32" t="inlineStr">
        <is>
          <t>Kanodia</t>
        </is>
      </c>
      <c r="B12" s="33" t="inlineStr">
        <is>
          <t>Kanodia Cement Ltd / Kanodia Group</t>
        </is>
      </c>
      <c r="C12" s="36" t="inlineStr">
        <is>
          <t>LIKELY (Medium-High)</t>
        </is>
      </c>
      <c r="D12" s="33" t="inlineStr">
        <is>
          <t>kanodiacement.co.in</t>
        </is>
      </c>
      <c r="E12" s="33" t="inlineStr">
        <is>
          <t>Cement &amp; building-materials manufacturer (brands e.g. BIGCEM, Concrete Gold); corporate office Noida, grinding units in UP/Bihar.</t>
        </is>
      </c>
      <c r="F12" s="33" t="inlineStr">
        <is>
          <t>Noida / NCR (corporate office, Sector-16, GB Nagar)</t>
        </is>
      </c>
      <c r="G12" s="33" t="inlineStr">
        <is>
          <t>Yes (sector + NCR)</t>
        </is>
      </c>
      <c r="H12" s="33" t="inlineStr">
        <is>
          <t>Matches the sheet's 'cement / building materials, Greater Noida' read. Note there are multiple 'Kanodia' businesses — confirm it is Kanodia Cement/Group.</t>
        </is>
      </c>
      <c r="I12" s="33" t="inlineStr">
        <is>
          <t>kanodiacement.co.in; kanodiagroup.co.in; tracxn.com</t>
        </is>
      </c>
    </row>
  </sheetData>
  <autoFilter ref="A1:I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2026-09-10T20:14:51Z</dcterms:created>
  <dcterms:modified xsi:type="dcterms:W3CDTF">2026-09-10T20:14:51Z</dcterms:modified>
</cp:coreProperties>
</file>